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mad\Desktop\basis_sets\"/>
    </mc:Choice>
  </mc:AlternateContent>
  <bookViews>
    <workbookView xWindow="0" yWindow="0" windowWidth="28800" windowHeight="12360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K6" i="1"/>
  <c r="L6" i="1"/>
  <c r="M6" i="1"/>
  <c r="N6" i="1"/>
  <c r="I6" i="1"/>
  <c r="T4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7" i="1"/>
  <c r="I18" i="1"/>
  <c r="J18" i="1"/>
  <c r="K18" i="1"/>
  <c r="L18" i="1"/>
  <c r="M18" i="1"/>
  <c r="N18" i="1"/>
  <c r="I19" i="1"/>
  <c r="J19" i="1"/>
  <c r="K19" i="1"/>
  <c r="L19" i="1"/>
  <c r="M19" i="1"/>
  <c r="N19" i="1"/>
  <c r="I20" i="1"/>
  <c r="J20" i="1"/>
  <c r="K20" i="1"/>
  <c r="L20" i="1"/>
  <c r="M20" i="1"/>
  <c r="N20" i="1"/>
  <c r="I21" i="1"/>
  <c r="J21" i="1"/>
  <c r="K21" i="1"/>
  <c r="L21" i="1"/>
  <c r="M21" i="1"/>
  <c r="N21" i="1"/>
  <c r="I22" i="1"/>
  <c r="J22" i="1"/>
  <c r="K22" i="1"/>
  <c r="L22" i="1"/>
  <c r="M22" i="1"/>
  <c r="N22" i="1"/>
  <c r="I23" i="1"/>
  <c r="J23" i="1"/>
  <c r="K23" i="1"/>
  <c r="L23" i="1"/>
  <c r="M23" i="1"/>
  <c r="N23" i="1"/>
  <c r="I24" i="1"/>
  <c r="J24" i="1"/>
  <c r="K24" i="1"/>
  <c r="L24" i="1"/>
  <c r="M24" i="1"/>
  <c r="N24" i="1"/>
  <c r="I25" i="1"/>
  <c r="J25" i="1"/>
  <c r="K25" i="1"/>
  <c r="L25" i="1"/>
  <c r="M25" i="1"/>
  <c r="N25" i="1"/>
  <c r="I26" i="1"/>
  <c r="J26" i="1"/>
  <c r="K26" i="1"/>
  <c r="L26" i="1"/>
  <c r="M26" i="1"/>
  <c r="N26" i="1"/>
  <c r="I27" i="1"/>
  <c r="J27" i="1"/>
  <c r="K27" i="1"/>
  <c r="L27" i="1"/>
  <c r="M27" i="1"/>
  <c r="N27" i="1"/>
  <c r="I28" i="1"/>
  <c r="J28" i="1"/>
  <c r="K28" i="1"/>
  <c r="L28" i="1"/>
  <c r="M28" i="1"/>
  <c r="N28" i="1"/>
  <c r="I29" i="1"/>
  <c r="J29" i="1"/>
  <c r="K29" i="1"/>
  <c r="L29" i="1"/>
  <c r="M29" i="1"/>
  <c r="N29" i="1"/>
  <c r="I30" i="1"/>
  <c r="J30" i="1"/>
  <c r="K30" i="1"/>
  <c r="L30" i="1"/>
  <c r="M30" i="1"/>
  <c r="N30" i="1"/>
  <c r="I31" i="1"/>
  <c r="J31" i="1"/>
  <c r="K31" i="1"/>
  <c r="L31" i="1"/>
  <c r="M31" i="1"/>
  <c r="N31" i="1"/>
  <c r="I32" i="1"/>
  <c r="J32" i="1"/>
  <c r="K32" i="1"/>
  <c r="L32" i="1"/>
  <c r="M32" i="1"/>
  <c r="N32" i="1"/>
  <c r="I33" i="1"/>
  <c r="J33" i="1"/>
  <c r="K33" i="1"/>
  <c r="L33" i="1"/>
  <c r="M33" i="1"/>
  <c r="N33" i="1"/>
  <c r="I34" i="1"/>
  <c r="J34" i="1"/>
  <c r="K34" i="1"/>
  <c r="L34" i="1"/>
  <c r="M34" i="1"/>
  <c r="N34" i="1"/>
  <c r="I35" i="1"/>
  <c r="J35" i="1"/>
  <c r="K35" i="1"/>
  <c r="L35" i="1"/>
  <c r="M35" i="1"/>
  <c r="N35" i="1"/>
  <c r="I36" i="1"/>
  <c r="J36" i="1"/>
  <c r="K36" i="1"/>
  <c r="L36" i="1"/>
  <c r="M36" i="1"/>
  <c r="N36" i="1"/>
  <c r="I37" i="1"/>
  <c r="J37" i="1"/>
  <c r="K37" i="1"/>
  <c r="L37" i="1"/>
  <c r="M37" i="1"/>
  <c r="N37" i="1"/>
  <c r="I38" i="1"/>
  <c r="J38" i="1"/>
  <c r="K38" i="1"/>
  <c r="L38" i="1"/>
  <c r="M38" i="1"/>
  <c r="N38" i="1"/>
  <c r="I39" i="1"/>
  <c r="J39" i="1"/>
  <c r="K39" i="1"/>
  <c r="L39" i="1"/>
  <c r="M39" i="1"/>
  <c r="N39" i="1"/>
  <c r="I40" i="1"/>
  <c r="J40" i="1"/>
  <c r="K40" i="1"/>
  <c r="L40" i="1"/>
  <c r="M40" i="1"/>
  <c r="N40" i="1"/>
  <c r="I41" i="1"/>
  <c r="J41" i="1"/>
  <c r="K41" i="1"/>
  <c r="L41" i="1"/>
  <c r="M41" i="1"/>
  <c r="N41" i="1"/>
  <c r="I42" i="1"/>
  <c r="J42" i="1"/>
  <c r="K42" i="1"/>
  <c r="L42" i="1"/>
  <c r="M42" i="1"/>
  <c r="N42" i="1"/>
  <c r="I43" i="1"/>
  <c r="J43" i="1"/>
  <c r="K43" i="1"/>
  <c r="L43" i="1"/>
  <c r="M43" i="1"/>
  <c r="N43" i="1"/>
  <c r="I44" i="1"/>
  <c r="J44" i="1"/>
  <c r="K44" i="1"/>
  <c r="L44" i="1"/>
  <c r="M44" i="1"/>
  <c r="N44" i="1"/>
  <c r="I45" i="1"/>
  <c r="J45" i="1"/>
  <c r="K45" i="1"/>
  <c r="L45" i="1"/>
  <c r="M45" i="1"/>
  <c r="N45" i="1"/>
  <c r="I46" i="1"/>
  <c r="J46" i="1"/>
  <c r="K46" i="1"/>
  <c r="L46" i="1"/>
  <c r="M46" i="1"/>
  <c r="N46" i="1"/>
  <c r="I47" i="1"/>
  <c r="J47" i="1"/>
  <c r="K47" i="1"/>
  <c r="L47" i="1"/>
  <c r="M47" i="1"/>
  <c r="N47" i="1"/>
  <c r="I48" i="1"/>
  <c r="J48" i="1"/>
  <c r="K48" i="1"/>
  <c r="L48" i="1"/>
  <c r="M48" i="1"/>
  <c r="N48" i="1"/>
  <c r="I49" i="1"/>
  <c r="J49" i="1"/>
  <c r="K49" i="1"/>
  <c r="L49" i="1"/>
  <c r="M49" i="1"/>
  <c r="N49" i="1"/>
  <c r="I50" i="1"/>
  <c r="J50" i="1"/>
  <c r="K50" i="1"/>
  <c r="L50" i="1"/>
  <c r="M50" i="1"/>
  <c r="N50" i="1"/>
  <c r="I51" i="1"/>
  <c r="J51" i="1"/>
  <c r="K51" i="1"/>
  <c r="L51" i="1"/>
  <c r="M51" i="1"/>
  <c r="N51" i="1"/>
  <c r="I52" i="1"/>
  <c r="J52" i="1"/>
  <c r="K52" i="1"/>
  <c r="L52" i="1"/>
  <c r="M52" i="1"/>
  <c r="N52" i="1"/>
  <c r="I53" i="1"/>
  <c r="J53" i="1"/>
  <c r="K53" i="1"/>
  <c r="L53" i="1"/>
  <c r="M53" i="1"/>
  <c r="N53" i="1"/>
  <c r="I54" i="1"/>
  <c r="J54" i="1"/>
  <c r="K54" i="1"/>
  <c r="L54" i="1"/>
  <c r="M54" i="1"/>
  <c r="N54" i="1"/>
  <c r="I55" i="1"/>
  <c r="J55" i="1"/>
  <c r="K55" i="1"/>
  <c r="L55" i="1"/>
  <c r="M55" i="1"/>
  <c r="N55" i="1"/>
  <c r="I56" i="1"/>
  <c r="J56" i="1"/>
  <c r="K56" i="1"/>
  <c r="L56" i="1"/>
  <c r="M56" i="1"/>
  <c r="N56" i="1"/>
  <c r="I57" i="1"/>
  <c r="J57" i="1"/>
  <c r="K57" i="1"/>
  <c r="L57" i="1"/>
  <c r="M57" i="1"/>
  <c r="N57" i="1"/>
  <c r="I58" i="1"/>
  <c r="J58" i="1"/>
  <c r="K58" i="1"/>
  <c r="L58" i="1"/>
  <c r="M58" i="1"/>
  <c r="N58" i="1"/>
  <c r="I59" i="1"/>
  <c r="J59" i="1"/>
  <c r="K59" i="1"/>
  <c r="L59" i="1"/>
  <c r="M59" i="1"/>
  <c r="N59" i="1"/>
  <c r="I60" i="1"/>
  <c r="J60" i="1"/>
  <c r="K60" i="1"/>
  <c r="L60" i="1"/>
  <c r="M60" i="1"/>
  <c r="N60" i="1"/>
  <c r="I61" i="1"/>
  <c r="J61" i="1"/>
  <c r="K61" i="1"/>
  <c r="L61" i="1"/>
  <c r="M61" i="1"/>
  <c r="N61" i="1"/>
  <c r="I62" i="1"/>
  <c r="J62" i="1"/>
  <c r="K62" i="1"/>
  <c r="L62" i="1"/>
  <c r="M62" i="1"/>
  <c r="N62" i="1"/>
  <c r="I63" i="1"/>
  <c r="J63" i="1"/>
  <c r="K63" i="1"/>
  <c r="L63" i="1"/>
  <c r="M63" i="1"/>
  <c r="N63" i="1"/>
  <c r="I64" i="1"/>
  <c r="J64" i="1"/>
  <c r="K64" i="1"/>
  <c r="L64" i="1"/>
  <c r="M64" i="1"/>
  <c r="N64" i="1"/>
  <c r="I65" i="1"/>
  <c r="J65" i="1"/>
  <c r="K65" i="1"/>
  <c r="L65" i="1"/>
  <c r="M65" i="1"/>
  <c r="N65" i="1"/>
  <c r="I66" i="1"/>
  <c r="J66" i="1"/>
  <c r="K66" i="1"/>
  <c r="L66" i="1"/>
  <c r="M66" i="1"/>
  <c r="N66" i="1"/>
  <c r="I67" i="1"/>
  <c r="J67" i="1"/>
  <c r="K67" i="1"/>
  <c r="L67" i="1"/>
  <c r="M67" i="1"/>
  <c r="N67" i="1"/>
  <c r="I68" i="1"/>
  <c r="J68" i="1"/>
  <c r="K68" i="1"/>
  <c r="L68" i="1"/>
  <c r="M68" i="1"/>
  <c r="N68" i="1"/>
  <c r="I69" i="1"/>
  <c r="J69" i="1"/>
  <c r="K69" i="1"/>
  <c r="L69" i="1"/>
  <c r="M69" i="1"/>
  <c r="N69" i="1"/>
  <c r="I70" i="1"/>
  <c r="J70" i="1"/>
  <c r="K70" i="1"/>
  <c r="L70" i="1"/>
  <c r="M70" i="1"/>
  <c r="N70" i="1"/>
  <c r="I71" i="1"/>
  <c r="J71" i="1"/>
  <c r="K71" i="1"/>
  <c r="L71" i="1"/>
  <c r="M71" i="1"/>
  <c r="N71" i="1"/>
  <c r="I72" i="1"/>
  <c r="J72" i="1"/>
  <c r="K72" i="1"/>
  <c r="L72" i="1"/>
  <c r="M72" i="1"/>
  <c r="N72" i="1"/>
  <c r="I73" i="1"/>
  <c r="J73" i="1"/>
  <c r="K73" i="1"/>
  <c r="L73" i="1"/>
  <c r="M73" i="1"/>
  <c r="N73" i="1"/>
  <c r="I74" i="1"/>
  <c r="J74" i="1"/>
  <c r="K74" i="1"/>
  <c r="L74" i="1"/>
  <c r="M74" i="1"/>
  <c r="N74" i="1"/>
  <c r="I75" i="1"/>
  <c r="J75" i="1"/>
  <c r="K75" i="1"/>
  <c r="L75" i="1"/>
  <c r="M75" i="1"/>
  <c r="N75" i="1"/>
  <c r="I76" i="1"/>
  <c r="J76" i="1"/>
  <c r="K76" i="1"/>
  <c r="L76" i="1"/>
  <c r="M76" i="1"/>
  <c r="N76" i="1"/>
  <c r="I77" i="1"/>
  <c r="J77" i="1"/>
  <c r="K77" i="1"/>
  <c r="L77" i="1"/>
  <c r="M77" i="1"/>
  <c r="N77" i="1"/>
  <c r="I78" i="1"/>
  <c r="J78" i="1"/>
  <c r="K78" i="1"/>
  <c r="L78" i="1"/>
  <c r="M78" i="1"/>
  <c r="N78" i="1"/>
  <c r="I79" i="1"/>
  <c r="J79" i="1"/>
  <c r="K79" i="1"/>
  <c r="L79" i="1"/>
  <c r="M79" i="1"/>
  <c r="N79" i="1"/>
  <c r="I80" i="1"/>
  <c r="J80" i="1"/>
  <c r="K80" i="1"/>
  <c r="L80" i="1"/>
  <c r="M80" i="1"/>
  <c r="N80" i="1"/>
  <c r="I81" i="1"/>
  <c r="J81" i="1"/>
  <c r="K81" i="1"/>
  <c r="L81" i="1"/>
  <c r="M81" i="1"/>
  <c r="N81" i="1"/>
  <c r="I82" i="1"/>
  <c r="J82" i="1"/>
  <c r="K82" i="1"/>
  <c r="L82" i="1"/>
  <c r="M82" i="1"/>
  <c r="N82" i="1"/>
  <c r="I83" i="1"/>
  <c r="J83" i="1"/>
  <c r="K83" i="1"/>
  <c r="L83" i="1"/>
  <c r="M83" i="1"/>
  <c r="N83" i="1"/>
  <c r="I84" i="1"/>
  <c r="J84" i="1"/>
  <c r="K84" i="1"/>
  <c r="L84" i="1"/>
  <c r="M84" i="1"/>
  <c r="N84" i="1"/>
  <c r="I85" i="1"/>
  <c r="J85" i="1"/>
  <c r="K85" i="1"/>
  <c r="L85" i="1"/>
  <c r="M85" i="1"/>
  <c r="N85" i="1"/>
  <c r="I86" i="1"/>
  <c r="J86" i="1"/>
  <c r="K86" i="1"/>
  <c r="L86" i="1"/>
  <c r="M86" i="1"/>
  <c r="N86" i="1"/>
  <c r="I87" i="1"/>
  <c r="J87" i="1"/>
  <c r="K87" i="1"/>
  <c r="L87" i="1"/>
  <c r="M87" i="1"/>
  <c r="N87" i="1"/>
  <c r="I88" i="1"/>
  <c r="J88" i="1"/>
  <c r="K88" i="1"/>
  <c r="L88" i="1"/>
  <c r="M88" i="1"/>
  <c r="N88" i="1"/>
  <c r="I89" i="1"/>
  <c r="J89" i="1"/>
  <c r="K89" i="1"/>
  <c r="L89" i="1"/>
  <c r="M89" i="1"/>
  <c r="N89" i="1"/>
  <c r="I90" i="1"/>
  <c r="J90" i="1"/>
  <c r="K90" i="1"/>
  <c r="L90" i="1"/>
  <c r="M90" i="1"/>
  <c r="N90" i="1"/>
  <c r="I91" i="1"/>
  <c r="J91" i="1"/>
  <c r="K91" i="1"/>
  <c r="L91" i="1"/>
  <c r="M91" i="1"/>
  <c r="N91" i="1"/>
  <c r="I92" i="1"/>
  <c r="J92" i="1"/>
  <c r="K92" i="1"/>
  <c r="L92" i="1"/>
  <c r="M92" i="1"/>
  <c r="N92" i="1"/>
  <c r="I93" i="1"/>
  <c r="J93" i="1"/>
  <c r="K93" i="1"/>
  <c r="L93" i="1"/>
  <c r="M93" i="1"/>
  <c r="N93" i="1"/>
  <c r="I94" i="1"/>
  <c r="J94" i="1"/>
  <c r="K94" i="1"/>
  <c r="L94" i="1"/>
  <c r="M94" i="1"/>
  <c r="N94" i="1"/>
  <c r="I95" i="1"/>
  <c r="J95" i="1"/>
  <c r="K95" i="1"/>
  <c r="L95" i="1"/>
  <c r="M95" i="1"/>
  <c r="N95" i="1"/>
  <c r="I96" i="1"/>
  <c r="J96" i="1"/>
  <c r="K96" i="1"/>
  <c r="L96" i="1"/>
  <c r="M96" i="1"/>
  <c r="N96" i="1"/>
  <c r="I97" i="1"/>
  <c r="J97" i="1"/>
  <c r="K97" i="1"/>
  <c r="L97" i="1"/>
  <c r="M97" i="1"/>
  <c r="N97" i="1"/>
  <c r="I98" i="1"/>
  <c r="J98" i="1"/>
  <c r="K98" i="1"/>
  <c r="L98" i="1"/>
  <c r="M98" i="1"/>
  <c r="N98" i="1"/>
  <c r="I99" i="1"/>
  <c r="J99" i="1"/>
  <c r="K99" i="1"/>
  <c r="L99" i="1"/>
  <c r="M99" i="1"/>
  <c r="N99" i="1"/>
  <c r="I100" i="1"/>
  <c r="J100" i="1"/>
  <c r="K100" i="1"/>
  <c r="L100" i="1"/>
  <c r="M100" i="1"/>
  <c r="N100" i="1"/>
  <c r="I101" i="1"/>
  <c r="J101" i="1"/>
  <c r="K101" i="1"/>
  <c r="L101" i="1"/>
  <c r="M101" i="1"/>
  <c r="N101" i="1"/>
  <c r="I102" i="1"/>
  <c r="J102" i="1"/>
  <c r="K102" i="1"/>
  <c r="L102" i="1"/>
  <c r="M102" i="1"/>
  <c r="N102" i="1"/>
  <c r="I103" i="1"/>
  <c r="J103" i="1"/>
  <c r="K103" i="1"/>
  <c r="L103" i="1"/>
  <c r="M103" i="1"/>
  <c r="N103" i="1"/>
  <c r="I104" i="1"/>
  <c r="J104" i="1"/>
  <c r="K104" i="1"/>
  <c r="L104" i="1"/>
  <c r="M104" i="1"/>
  <c r="N104" i="1"/>
  <c r="I105" i="1"/>
  <c r="J105" i="1"/>
  <c r="K105" i="1"/>
  <c r="L105" i="1"/>
  <c r="M105" i="1"/>
  <c r="N105" i="1"/>
  <c r="I106" i="1"/>
  <c r="J106" i="1"/>
  <c r="K106" i="1"/>
  <c r="L106" i="1"/>
  <c r="M106" i="1"/>
  <c r="N106" i="1"/>
  <c r="I107" i="1"/>
  <c r="J107" i="1"/>
  <c r="K107" i="1"/>
  <c r="L107" i="1"/>
  <c r="M107" i="1"/>
  <c r="N107" i="1"/>
  <c r="I8" i="1"/>
  <c r="J8" i="1"/>
  <c r="K8" i="1"/>
  <c r="L8" i="1"/>
  <c r="M8" i="1"/>
  <c r="N8" i="1"/>
  <c r="I9" i="1"/>
  <c r="J9" i="1"/>
  <c r="K9" i="1"/>
  <c r="L9" i="1"/>
  <c r="M9" i="1"/>
  <c r="N9" i="1"/>
  <c r="I10" i="1"/>
  <c r="J10" i="1"/>
  <c r="K10" i="1"/>
  <c r="L10" i="1"/>
  <c r="M10" i="1"/>
  <c r="N10" i="1"/>
  <c r="I11" i="1"/>
  <c r="J11" i="1"/>
  <c r="K11" i="1"/>
  <c r="L11" i="1"/>
  <c r="M11" i="1"/>
  <c r="N11" i="1"/>
  <c r="I12" i="1"/>
  <c r="J12" i="1"/>
  <c r="K12" i="1"/>
  <c r="L12" i="1"/>
  <c r="M12" i="1"/>
  <c r="N12" i="1"/>
  <c r="I13" i="1"/>
  <c r="J13" i="1"/>
  <c r="K13" i="1"/>
  <c r="L13" i="1"/>
  <c r="M13" i="1"/>
  <c r="N13" i="1"/>
  <c r="I14" i="1"/>
  <c r="J14" i="1"/>
  <c r="K14" i="1"/>
  <c r="L14" i="1"/>
  <c r="M14" i="1"/>
  <c r="N14" i="1"/>
  <c r="I15" i="1"/>
  <c r="J15" i="1"/>
  <c r="K15" i="1"/>
  <c r="L15" i="1"/>
  <c r="M15" i="1"/>
  <c r="N15" i="1"/>
  <c r="I16" i="1"/>
  <c r="J16" i="1"/>
  <c r="K16" i="1"/>
  <c r="L16" i="1"/>
  <c r="M16" i="1"/>
  <c r="N16" i="1"/>
  <c r="I17" i="1"/>
  <c r="J17" i="1"/>
  <c r="K17" i="1"/>
  <c r="L17" i="1"/>
  <c r="M17" i="1"/>
  <c r="N17" i="1"/>
  <c r="J7" i="1"/>
  <c r="K7" i="1"/>
  <c r="L7" i="1"/>
  <c r="M7" i="1"/>
  <c r="N7" i="1"/>
  <c r="I7" i="1"/>
  <c r="Q6" i="2"/>
  <c r="R56" i="1"/>
  <c r="R59" i="1"/>
  <c r="R87" i="1"/>
  <c r="R65" i="1"/>
  <c r="R43" i="1"/>
  <c r="R94" i="1"/>
  <c r="R42" i="1"/>
  <c r="R106" i="1"/>
  <c r="R31" i="1"/>
  <c r="R60" i="1"/>
  <c r="R29" i="1"/>
  <c r="R46" i="1"/>
  <c r="R64" i="1"/>
  <c r="R91" i="1"/>
  <c r="R9" i="1"/>
  <c r="R73" i="1"/>
  <c r="R51" i="1"/>
  <c r="R15" i="1"/>
  <c r="R50" i="1"/>
  <c r="R11" i="1"/>
  <c r="R71" i="1"/>
  <c r="R68" i="1"/>
  <c r="R37" i="1"/>
  <c r="R78" i="1"/>
  <c r="R8" i="1"/>
  <c r="R72" i="1"/>
  <c r="R93" i="1"/>
  <c r="R17" i="1"/>
  <c r="R81" i="1"/>
  <c r="R67" i="1"/>
  <c r="R79" i="1"/>
  <c r="R58" i="1"/>
  <c r="R75" i="1"/>
  <c r="R12" i="1"/>
  <c r="R76" i="1"/>
  <c r="R45" i="1"/>
  <c r="R102" i="1"/>
  <c r="R16" i="1"/>
  <c r="R80" i="1"/>
  <c r="R22" i="1"/>
  <c r="R25" i="1"/>
  <c r="R89" i="1"/>
  <c r="R83" i="1"/>
  <c r="R103" i="1"/>
  <c r="R66" i="1"/>
  <c r="R99" i="1"/>
  <c r="R20" i="1"/>
  <c r="R84" i="1"/>
  <c r="R53" i="1"/>
  <c r="R23" i="1"/>
  <c r="R96" i="1"/>
  <c r="R41" i="1"/>
  <c r="R69" i="1"/>
  <c r="R82" i="1"/>
  <c r="R36" i="1"/>
  <c r="R85" i="1"/>
  <c r="R40" i="1"/>
  <c r="R49" i="1"/>
  <c r="R38" i="1"/>
  <c r="R54" i="1"/>
  <c r="R13" i="1"/>
  <c r="R48" i="1"/>
  <c r="R63" i="1"/>
  <c r="R57" i="1"/>
  <c r="R62" i="1"/>
  <c r="R98" i="1"/>
  <c r="R52" i="1"/>
  <c r="R24" i="1"/>
  <c r="R88" i="1"/>
  <c r="R70" i="1"/>
  <c r="R33" i="1"/>
  <c r="R97" i="1"/>
  <c r="R107" i="1"/>
  <c r="R10" i="1"/>
  <c r="R74" i="1"/>
  <c r="R77" i="1"/>
  <c r="R28" i="1"/>
  <c r="R92" i="1"/>
  <c r="R61" i="1"/>
  <c r="R55" i="1"/>
  <c r="R32" i="1"/>
  <c r="R39" i="1"/>
  <c r="R105" i="1"/>
  <c r="R18" i="1"/>
  <c r="R30" i="1"/>
  <c r="R100" i="1"/>
  <c r="R95" i="1"/>
  <c r="R104" i="1"/>
  <c r="R47" i="1"/>
  <c r="R19" i="1"/>
  <c r="R26" i="1"/>
  <c r="R90" i="1"/>
  <c r="R44" i="1"/>
  <c r="R101" i="1"/>
  <c r="R27" i="1"/>
  <c r="R35" i="1"/>
  <c r="R34" i="1"/>
  <c r="R86" i="1"/>
  <c r="R21" i="1"/>
  <c r="R14" i="1"/>
  <c r="R7" i="1"/>
  <c r="B16" i="1"/>
  <c r="D17" i="1"/>
  <c r="F18" i="1"/>
  <c r="B20" i="1"/>
  <c r="D21" i="1"/>
  <c r="F22" i="1"/>
  <c r="B24" i="1"/>
  <c r="D25" i="1"/>
  <c r="F26" i="1"/>
  <c r="B28" i="1"/>
  <c r="D29" i="1"/>
  <c r="F30" i="1"/>
  <c r="B32" i="1"/>
  <c r="D33" i="1"/>
  <c r="F34" i="1"/>
  <c r="B36" i="1"/>
  <c r="D37" i="1"/>
  <c r="F38" i="1"/>
  <c r="B40" i="1"/>
  <c r="D41" i="1"/>
  <c r="F42" i="1"/>
  <c r="B44" i="1"/>
  <c r="D45" i="1"/>
  <c r="F46" i="1"/>
  <c r="B48" i="1"/>
  <c r="D49" i="1"/>
  <c r="F50" i="1"/>
  <c r="B52" i="1"/>
  <c r="D53" i="1"/>
  <c r="F54" i="1"/>
  <c r="B56" i="1"/>
  <c r="D57" i="1"/>
  <c r="F58" i="1"/>
  <c r="B60" i="1"/>
  <c r="D61" i="1"/>
  <c r="F62" i="1"/>
  <c r="B64" i="1"/>
  <c r="D65" i="1"/>
  <c r="F66" i="1"/>
  <c r="B68" i="1"/>
  <c r="D69" i="1"/>
  <c r="F70" i="1"/>
  <c r="B72" i="1"/>
  <c r="D73" i="1"/>
  <c r="F74" i="1"/>
  <c r="B76" i="1"/>
  <c r="D77" i="1"/>
  <c r="F78" i="1"/>
  <c r="B80" i="1"/>
  <c r="D81" i="1"/>
  <c r="F82" i="1"/>
  <c r="B84" i="1"/>
  <c r="D85" i="1"/>
  <c r="F86" i="1"/>
  <c r="B88" i="1"/>
  <c r="D89" i="1"/>
  <c r="F90" i="1"/>
  <c r="B92" i="1"/>
  <c r="D93" i="1"/>
  <c r="F94" i="1"/>
  <c r="B96" i="1"/>
  <c r="D97" i="1"/>
  <c r="F98" i="1"/>
  <c r="B100" i="1"/>
  <c r="D101" i="1"/>
  <c r="F102" i="1"/>
  <c r="B104" i="1"/>
  <c r="D105" i="1"/>
  <c r="F106" i="1"/>
  <c r="C104" i="1"/>
  <c r="G17" i="1"/>
  <c r="G21" i="1"/>
  <c r="G25" i="1"/>
  <c r="E28" i="1"/>
  <c r="C31" i="1"/>
  <c r="G33" i="1"/>
  <c r="G37" i="1"/>
  <c r="E40" i="1"/>
  <c r="E44" i="1"/>
  <c r="E48" i="1"/>
  <c r="E52" i="1"/>
  <c r="G57" i="1"/>
  <c r="G61" i="1"/>
  <c r="G65" i="1"/>
  <c r="E68" i="1"/>
  <c r="E72" i="1"/>
  <c r="E76" i="1"/>
  <c r="E80" i="1"/>
  <c r="G85" i="1"/>
  <c r="G89" i="1"/>
  <c r="G93" i="1"/>
  <c r="G97" i="1"/>
  <c r="C103" i="1"/>
  <c r="D19" i="1"/>
  <c r="F40" i="1"/>
  <c r="F44" i="1"/>
  <c r="D47" i="1"/>
  <c r="B50" i="1"/>
  <c r="B54" i="1"/>
  <c r="D59" i="1"/>
  <c r="D63" i="1"/>
  <c r="B66" i="1"/>
  <c r="F68" i="1"/>
  <c r="D71" i="1"/>
  <c r="D75" i="1"/>
  <c r="D79" i="1"/>
  <c r="D83" i="1"/>
  <c r="D87" i="1"/>
  <c r="F92" i="1"/>
  <c r="F96" i="1"/>
  <c r="B102" i="1"/>
  <c r="C16" i="1"/>
  <c r="E17" i="1"/>
  <c r="G18" i="1"/>
  <c r="C20" i="1"/>
  <c r="E21" i="1"/>
  <c r="G22" i="1"/>
  <c r="C24" i="1"/>
  <c r="E25" i="1"/>
  <c r="G26" i="1"/>
  <c r="C28" i="1"/>
  <c r="E29" i="1"/>
  <c r="G30" i="1"/>
  <c r="C32" i="1"/>
  <c r="E33" i="1"/>
  <c r="G34" i="1"/>
  <c r="C36" i="1"/>
  <c r="E37" i="1"/>
  <c r="G38" i="1"/>
  <c r="C40" i="1"/>
  <c r="E41" i="1"/>
  <c r="G42" i="1"/>
  <c r="C44" i="1"/>
  <c r="E45" i="1"/>
  <c r="G46" i="1"/>
  <c r="C48" i="1"/>
  <c r="E49" i="1"/>
  <c r="G50" i="1"/>
  <c r="C52" i="1"/>
  <c r="E53" i="1"/>
  <c r="G54" i="1"/>
  <c r="C56" i="1"/>
  <c r="E57" i="1"/>
  <c r="G58" i="1"/>
  <c r="C60" i="1"/>
  <c r="E61" i="1"/>
  <c r="G62" i="1"/>
  <c r="C64" i="1"/>
  <c r="E65" i="1"/>
  <c r="G66" i="1"/>
  <c r="C68" i="1"/>
  <c r="E69" i="1"/>
  <c r="G70" i="1"/>
  <c r="C72" i="1"/>
  <c r="E73" i="1"/>
  <c r="G74" i="1"/>
  <c r="C76" i="1"/>
  <c r="E77" i="1"/>
  <c r="G78" i="1"/>
  <c r="C80" i="1"/>
  <c r="E81" i="1"/>
  <c r="G82" i="1"/>
  <c r="C84" i="1"/>
  <c r="E85" i="1"/>
  <c r="G86" i="1"/>
  <c r="C88" i="1"/>
  <c r="E89" i="1"/>
  <c r="G90" i="1"/>
  <c r="C92" i="1"/>
  <c r="E93" i="1"/>
  <c r="G94" i="1"/>
  <c r="C96" i="1"/>
  <c r="E97" i="1"/>
  <c r="G98" i="1"/>
  <c r="C100" i="1"/>
  <c r="E101" i="1"/>
  <c r="G102" i="1"/>
  <c r="E105" i="1"/>
  <c r="G106" i="1"/>
  <c r="C19" i="1"/>
  <c r="C35" i="1"/>
  <c r="G41" i="1"/>
  <c r="G45" i="1"/>
  <c r="G49" i="1"/>
  <c r="G53" i="1"/>
  <c r="E56" i="1"/>
  <c r="E60" i="1"/>
  <c r="C63" i="1"/>
  <c r="C67" i="1"/>
  <c r="C71" i="1"/>
  <c r="G73" i="1"/>
  <c r="G77" i="1"/>
  <c r="G81" i="1"/>
  <c r="C83" i="1"/>
  <c r="C87" i="1"/>
  <c r="C91" i="1"/>
  <c r="C95" i="1"/>
  <c r="C99" i="1"/>
  <c r="G101" i="1"/>
  <c r="G105" i="1"/>
  <c r="B18" i="1"/>
  <c r="B38" i="1"/>
  <c r="D51" i="1"/>
  <c r="F56" i="1"/>
  <c r="B62" i="1"/>
  <c r="D67" i="1"/>
  <c r="F72" i="1"/>
  <c r="F76" i="1"/>
  <c r="F80" i="1"/>
  <c r="F84" i="1"/>
  <c r="F88" i="1"/>
  <c r="D91" i="1"/>
  <c r="D95" i="1"/>
  <c r="D99" i="1"/>
  <c r="D103" i="1"/>
  <c r="D16" i="1"/>
  <c r="F17" i="1"/>
  <c r="B19" i="1"/>
  <c r="D20" i="1"/>
  <c r="F21" i="1"/>
  <c r="B23" i="1"/>
  <c r="D24" i="1"/>
  <c r="F25" i="1"/>
  <c r="B27" i="1"/>
  <c r="D28" i="1"/>
  <c r="F29" i="1"/>
  <c r="B31" i="1"/>
  <c r="D32" i="1"/>
  <c r="F33" i="1"/>
  <c r="B35" i="1"/>
  <c r="D36" i="1"/>
  <c r="F37" i="1"/>
  <c r="B39" i="1"/>
  <c r="D40" i="1"/>
  <c r="F41" i="1"/>
  <c r="B43" i="1"/>
  <c r="D44" i="1"/>
  <c r="F45" i="1"/>
  <c r="B47" i="1"/>
  <c r="D48" i="1"/>
  <c r="F49" i="1"/>
  <c r="B51" i="1"/>
  <c r="D52" i="1"/>
  <c r="F53" i="1"/>
  <c r="B55" i="1"/>
  <c r="D56" i="1"/>
  <c r="F57" i="1"/>
  <c r="B59" i="1"/>
  <c r="D60" i="1"/>
  <c r="F61" i="1"/>
  <c r="B63" i="1"/>
  <c r="D64" i="1"/>
  <c r="F65" i="1"/>
  <c r="B67" i="1"/>
  <c r="D68" i="1"/>
  <c r="F69" i="1"/>
  <c r="B71" i="1"/>
  <c r="D72" i="1"/>
  <c r="F73" i="1"/>
  <c r="B75" i="1"/>
  <c r="D76" i="1"/>
  <c r="F77" i="1"/>
  <c r="B79" i="1"/>
  <c r="D80" i="1"/>
  <c r="F81" i="1"/>
  <c r="B83" i="1"/>
  <c r="D84" i="1"/>
  <c r="F85" i="1"/>
  <c r="B87" i="1"/>
  <c r="D88" i="1"/>
  <c r="F89" i="1"/>
  <c r="B91" i="1"/>
  <c r="D92" i="1"/>
  <c r="F93" i="1"/>
  <c r="B95" i="1"/>
  <c r="D96" i="1"/>
  <c r="F97" i="1"/>
  <c r="B99" i="1"/>
  <c r="D100" i="1"/>
  <c r="F101" i="1"/>
  <c r="B103" i="1"/>
  <c r="D104" i="1"/>
  <c r="F105" i="1"/>
  <c r="B107" i="1"/>
  <c r="E16" i="1"/>
  <c r="E20" i="1"/>
  <c r="C23" i="1"/>
  <c r="E24" i="1"/>
  <c r="C27" i="1"/>
  <c r="G29" i="1"/>
  <c r="E32" i="1"/>
  <c r="E36" i="1"/>
  <c r="C39" i="1"/>
  <c r="C43" i="1"/>
  <c r="C47" i="1"/>
  <c r="C51" i="1"/>
  <c r="C55" i="1"/>
  <c r="C59" i="1"/>
  <c r="E64" i="1"/>
  <c r="G69" i="1"/>
  <c r="C75" i="1"/>
  <c r="C79" i="1"/>
  <c r="E84" i="1"/>
  <c r="E88" i="1"/>
  <c r="E92" i="1"/>
  <c r="E96" i="1"/>
  <c r="E100" i="1"/>
  <c r="E104" i="1"/>
  <c r="C107" i="1"/>
  <c r="F16" i="1"/>
  <c r="F20" i="1"/>
  <c r="B22" i="1"/>
  <c r="D23" i="1"/>
  <c r="F24" i="1"/>
  <c r="B26" i="1"/>
  <c r="D27" i="1"/>
  <c r="F28" i="1"/>
  <c r="B30" i="1"/>
  <c r="D31" i="1"/>
  <c r="F32" i="1"/>
  <c r="B34" i="1"/>
  <c r="D35" i="1"/>
  <c r="F36" i="1"/>
  <c r="D39" i="1"/>
  <c r="B42" i="1"/>
  <c r="D43" i="1"/>
  <c r="B46" i="1"/>
  <c r="F48" i="1"/>
  <c r="F52" i="1"/>
  <c r="D55" i="1"/>
  <c r="B58" i="1"/>
  <c r="F60" i="1"/>
  <c r="F64" i="1"/>
  <c r="B70" i="1"/>
  <c r="B74" i="1"/>
  <c r="B78" i="1"/>
  <c r="B82" i="1"/>
  <c r="B86" i="1"/>
  <c r="B90" i="1"/>
  <c r="B94" i="1"/>
  <c r="B98" i="1"/>
  <c r="F100" i="1"/>
  <c r="G16" i="1"/>
  <c r="G19" i="1"/>
  <c r="F23" i="1"/>
  <c r="E27" i="1"/>
  <c r="E30" i="1"/>
  <c r="D34" i="1"/>
  <c r="C38" i="1"/>
  <c r="C41" i="1"/>
  <c r="B45" i="1"/>
  <c r="G48" i="1"/>
  <c r="G51" i="1"/>
  <c r="F55" i="1"/>
  <c r="E59" i="1"/>
  <c r="E62" i="1"/>
  <c r="D66" i="1"/>
  <c r="C70" i="1"/>
  <c r="C73" i="1"/>
  <c r="B77" i="1"/>
  <c r="G80" i="1"/>
  <c r="G83" i="1"/>
  <c r="F87" i="1"/>
  <c r="E91" i="1"/>
  <c r="E94" i="1"/>
  <c r="D98" i="1"/>
  <c r="C102" i="1"/>
  <c r="B105" i="1"/>
  <c r="F107" i="1"/>
  <c r="B101" i="1"/>
  <c r="F19" i="1"/>
  <c r="C69" i="1"/>
  <c r="F83" i="1"/>
  <c r="D94" i="1"/>
  <c r="G104" i="1"/>
  <c r="B17" i="1"/>
  <c r="G20" i="1"/>
  <c r="G23" i="1"/>
  <c r="F27" i="1"/>
  <c r="E31" i="1"/>
  <c r="E34" i="1"/>
  <c r="D38" i="1"/>
  <c r="C42" i="1"/>
  <c r="C45" i="1"/>
  <c r="B49" i="1"/>
  <c r="G52" i="1"/>
  <c r="G55" i="1"/>
  <c r="F59" i="1"/>
  <c r="E63" i="1"/>
  <c r="E66" i="1"/>
  <c r="D70" i="1"/>
  <c r="C74" i="1"/>
  <c r="C77" i="1"/>
  <c r="B81" i="1"/>
  <c r="G84" i="1"/>
  <c r="G87" i="1"/>
  <c r="F91" i="1"/>
  <c r="E95" i="1"/>
  <c r="E98" i="1"/>
  <c r="D102" i="1"/>
  <c r="C105" i="1"/>
  <c r="G107" i="1"/>
  <c r="C97" i="1"/>
  <c r="E23" i="1"/>
  <c r="D62" i="1"/>
  <c r="G76" i="1"/>
  <c r="E90" i="1"/>
  <c r="C101" i="1"/>
  <c r="C17" i="1"/>
  <c r="B21" i="1"/>
  <c r="G24" i="1"/>
  <c r="G27" i="1"/>
  <c r="F31" i="1"/>
  <c r="E35" i="1"/>
  <c r="E38" i="1"/>
  <c r="D42" i="1"/>
  <c r="C46" i="1"/>
  <c r="C49" i="1"/>
  <c r="B53" i="1"/>
  <c r="G56" i="1"/>
  <c r="G59" i="1"/>
  <c r="F63" i="1"/>
  <c r="E67" i="1"/>
  <c r="E70" i="1"/>
  <c r="D74" i="1"/>
  <c r="C78" i="1"/>
  <c r="C81" i="1"/>
  <c r="B85" i="1"/>
  <c r="G88" i="1"/>
  <c r="G91" i="1"/>
  <c r="F95" i="1"/>
  <c r="E99" i="1"/>
  <c r="E102" i="1"/>
  <c r="B106" i="1"/>
  <c r="C18" i="1"/>
  <c r="C21" i="1"/>
  <c r="B25" i="1"/>
  <c r="G28" i="1"/>
  <c r="G31" i="1"/>
  <c r="F35" i="1"/>
  <c r="E39" i="1"/>
  <c r="E42" i="1"/>
  <c r="D46" i="1"/>
  <c r="C50" i="1"/>
  <c r="C53" i="1"/>
  <c r="B57" i="1"/>
  <c r="G60" i="1"/>
  <c r="G63" i="1"/>
  <c r="F67" i="1"/>
  <c r="E71" i="1"/>
  <c r="E74" i="1"/>
  <c r="D78" i="1"/>
  <c r="C82" i="1"/>
  <c r="C85" i="1"/>
  <c r="B89" i="1"/>
  <c r="G92" i="1"/>
  <c r="G95" i="1"/>
  <c r="F99" i="1"/>
  <c r="E103" i="1"/>
  <c r="C106" i="1"/>
  <c r="D18" i="1"/>
  <c r="C22" i="1"/>
  <c r="C25" i="1"/>
  <c r="B29" i="1"/>
  <c r="G32" i="1"/>
  <c r="G35" i="1"/>
  <c r="F39" i="1"/>
  <c r="E43" i="1"/>
  <c r="E46" i="1"/>
  <c r="D50" i="1"/>
  <c r="C54" i="1"/>
  <c r="C57" i="1"/>
  <c r="B61" i="1"/>
  <c r="G64" i="1"/>
  <c r="G67" i="1"/>
  <c r="F71" i="1"/>
  <c r="E75" i="1"/>
  <c r="E78" i="1"/>
  <c r="D82" i="1"/>
  <c r="C86" i="1"/>
  <c r="C89" i="1"/>
  <c r="B93" i="1"/>
  <c r="G96" i="1"/>
  <c r="G99" i="1"/>
  <c r="F103" i="1"/>
  <c r="D106" i="1"/>
  <c r="E18" i="1"/>
  <c r="D22" i="1"/>
  <c r="C26" i="1"/>
  <c r="C29" i="1"/>
  <c r="B33" i="1"/>
  <c r="G36" i="1"/>
  <c r="G39" i="1"/>
  <c r="F43" i="1"/>
  <c r="E47" i="1"/>
  <c r="E50" i="1"/>
  <c r="D54" i="1"/>
  <c r="C58" i="1"/>
  <c r="C61" i="1"/>
  <c r="B65" i="1"/>
  <c r="G68" i="1"/>
  <c r="G71" i="1"/>
  <c r="F75" i="1"/>
  <c r="E79" i="1"/>
  <c r="E82" i="1"/>
  <c r="D86" i="1"/>
  <c r="C90" i="1"/>
  <c r="C93" i="1"/>
  <c r="B97" i="1"/>
  <c r="G100" i="1"/>
  <c r="G103" i="1"/>
  <c r="E106" i="1"/>
  <c r="E19" i="1"/>
  <c r="E22" i="1"/>
  <c r="D26" i="1"/>
  <c r="C30" i="1"/>
  <c r="C33" i="1"/>
  <c r="B37" i="1"/>
  <c r="G40" i="1"/>
  <c r="G43" i="1"/>
  <c r="F47" i="1"/>
  <c r="E51" i="1"/>
  <c r="E54" i="1"/>
  <c r="D58" i="1"/>
  <c r="C62" i="1"/>
  <c r="C65" i="1"/>
  <c r="B69" i="1"/>
  <c r="G72" i="1"/>
  <c r="G75" i="1"/>
  <c r="F79" i="1"/>
  <c r="E83" i="1"/>
  <c r="E86" i="1"/>
  <c r="D90" i="1"/>
  <c r="C94" i="1"/>
  <c r="F104" i="1"/>
  <c r="D107" i="1"/>
  <c r="E26" i="1"/>
  <c r="D30" i="1"/>
  <c r="C34" i="1"/>
  <c r="C37" i="1"/>
  <c r="B41" i="1"/>
  <c r="G44" i="1"/>
  <c r="G47" i="1"/>
  <c r="F51" i="1"/>
  <c r="E55" i="1"/>
  <c r="E58" i="1"/>
  <c r="C66" i="1"/>
  <c r="B73" i="1"/>
  <c r="G79" i="1"/>
  <c r="E87" i="1"/>
  <c r="C98" i="1"/>
  <c r="E107" i="1"/>
  <c r="B8" i="1"/>
  <c r="D9" i="1"/>
  <c r="F10" i="1"/>
  <c r="B12" i="1"/>
  <c r="D13" i="1"/>
  <c r="F14" i="1"/>
  <c r="C8" i="1"/>
  <c r="E9" i="1"/>
  <c r="G10" i="1"/>
  <c r="C12" i="1"/>
  <c r="E13" i="1"/>
  <c r="G14" i="1"/>
  <c r="D8" i="1"/>
  <c r="F9" i="1"/>
  <c r="B11" i="1"/>
  <c r="D12" i="1"/>
  <c r="F13" i="1"/>
  <c r="B15" i="1"/>
  <c r="E8" i="1"/>
  <c r="G9" i="1"/>
  <c r="C11" i="1"/>
  <c r="G13" i="1"/>
  <c r="C15" i="1"/>
  <c r="F8" i="1"/>
  <c r="B10" i="1"/>
  <c r="D11" i="1"/>
  <c r="F12" i="1"/>
  <c r="B14" i="1"/>
  <c r="D15" i="1"/>
  <c r="G8" i="1"/>
  <c r="C10" i="1"/>
  <c r="E11" i="1"/>
  <c r="G12" i="1"/>
  <c r="C14" i="1"/>
  <c r="E15" i="1"/>
  <c r="B9" i="1"/>
  <c r="D10" i="1"/>
  <c r="F11" i="1"/>
  <c r="B13" i="1"/>
  <c r="D14" i="1"/>
  <c r="F15" i="1"/>
  <c r="C9" i="1"/>
  <c r="E10" i="1"/>
  <c r="G11" i="1"/>
  <c r="C13" i="1"/>
  <c r="E14" i="1"/>
  <c r="G15" i="1"/>
  <c r="E12" i="1"/>
  <c r="C7" i="1"/>
  <c r="D7" i="1"/>
  <c r="F7" i="1"/>
  <c r="G7" i="1"/>
  <c r="E7" i="1"/>
  <c r="B7" i="1"/>
  <c r="C2" i="2"/>
  <c r="C10" i="2"/>
  <c r="C18" i="2"/>
  <c r="C26" i="2"/>
  <c r="C34" i="2"/>
  <c r="C42" i="2"/>
  <c r="C50" i="2"/>
  <c r="C58" i="2"/>
  <c r="C66" i="2"/>
  <c r="C74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4" i="2"/>
  <c r="C242" i="2"/>
  <c r="C250" i="2"/>
  <c r="C258" i="2"/>
  <c r="C266" i="2"/>
  <c r="C274" i="2"/>
  <c r="C282" i="2"/>
  <c r="C12" i="2"/>
  <c r="C20" i="2"/>
  <c r="C36" i="2"/>
  <c r="C44" i="2"/>
  <c r="C60" i="2"/>
  <c r="C76" i="2"/>
  <c r="C92" i="2"/>
  <c r="C108" i="2"/>
  <c r="C124" i="2"/>
  <c r="C140" i="2"/>
  <c r="C156" i="2"/>
  <c r="C172" i="2"/>
  <c r="C188" i="2"/>
  <c r="C204" i="2"/>
  <c r="C220" i="2"/>
  <c r="C236" i="2"/>
  <c r="C252" i="2"/>
  <c r="C268" i="2"/>
  <c r="C284" i="2"/>
  <c r="C23" i="2"/>
  <c r="C47" i="2"/>
  <c r="C63" i="2"/>
  <c r="C87" i="2"/>
  <c r="C95" i="2"/>
  <c r="C119" i="2"/>
  <c r="C143" i="2"/>
  <c r="C159" i="2"/>
  <c r="C175" i="2"/>
  <c r="C207" i="2"/>
  <c r="C231" i="2"/>
  <c r="C255" i="2"/>
  <c r="C8" i="2"/>
  <c r="C40" i="2"/>
  <c r="C64" i="2"/>
  <c r="C88" i="2"/>
  <c r="C96" i="2"/>
  <c r="C128" i="2"/>
  <c r="C152" i="2"/>
  <c r="C176" i="2"/>
  <c r="C216" i="2"/>
  <c r="C248" i="2"/>
  <c r="C9" i="2"/>
  <c r="C33" i="2"/>
  <c r="C41" i="2"/>
  <c r="C57" i="2"/>
  <c r="C73" i="2"/>
  <c r="C89" i="2"/>
  <c r="C105" i="2"/>
  <c r="C137" i="2"/>
  <c r="C161" i="2"/>
  <c r="C185" i="2"/>
  <c r="C209" i="2"/>
  <c r="C233" i="2"/>
  <c r="C257" i="2"/>
  <c r="C281" i="2"/>
  <c r="C3" i="2"/>
  <c r="C11" i="2"/>
  <c r="C19" i="2"/>
  <c r="C27" i="2"/>
  <c r="C35" i="2"/>
  <c r="C43" i="2"/>
  <c r="C51" i="2"/>
  <c r="C59" i="2"/>
  <c r="C67" i="2"/>
  <c r="C75" i="2"/>
  <c r="C83" i="2"/>
  <c r="C91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C283" i="2"/>
  <c r="C4" i="2"/>
  <c r="C28" i="2"/>
  <c r="C52" i="2"/>
  <c r="C68" i="2"/>
  <c r="C84" i="2"/>
  <c r="C100" i="2"/>
  <c r="C116" i="2"/>
  <c r="C132" i="2"/>
  <c r="C148" i="2"/>
  <c r="C164" i="2"/>
  <c r="C180" i="2"/>
  <c r="C196" i="2"/>
  <c r="C212" i="2"/>
  <c r="C228" i="2"/>
  <c r="C244" i="2"/>
  <c r="C260" i="2"/>
  <c r="C276" i="2"/>
  <c r="C15" i="2"/>
  <c r="C39" i="2"/>
  <c r="C55" i="2"/>
  <c r="C79" i="2"/>
  <c r="C103" i="2"/>
  <c r="C135" i="2"/>
  <c r="C167" i="2"/>
  <c r="C191" i="2"/>
  <c r="C223" i="2"/>
  <c r="C247" i="2"/>
  <c r="C271" i="2"/>
  <c r="C16" i="2"/>
  <c r="C48" i="2"/>
  <c r="C80" i="2"/>
  <c r="C112" i="2"/>
  <c r="C136" i="2"/>
  <c r="C168" i="2"/>
  <c r="C184" i="2"/>
  <c r="C200" i="2"/>
  <c r="C224" i="2"/>
  <c r="C256" i="2"/>
  <c r="C280" i="2"/>
  <c r="C5" i="2"/>
  <c r="C13" i="2"/>
  <c r="C21" i="2"/>
  <c r="C29" i="2"/>
  <c r="C37" i="2"/>
  <c r="C45" i="2"/>
  <c r="C53" i="2"/>
  <c r="C61" i="2"/>
  <c r="C69" i="2"/>
  <c r="C77" i="2"/>
  <c r="C85" i="2"/>
  <c r="C93" i="2"/>
  <c r="C101" i="2"/>
  <c r="C109" i="2"/>
  <c r="C117" i="2"/>
  <c r="C125" i="2"/>
  <c r="C133" i="2"/>
  <c r="C141" i="2"/>
  <c r="C149" i="2"/>
  <c r="C157" i="2"/>
  <c r="C165" i="2"/>
  <c r="C173" i="2"/>
  <c r="C181" i="2"/>
  <c r="C189" i="2"/>
  <c r="C197" i="2"/>
  <c r="C205" i="2"/>
  <c r="C213" i="2"/>
  <c r="C221" i="2"/>
  <c r="C229" i="2"/>
  <c r="C237" i="2"/>
  <c r="C245" i="2"/>
  <c r="C253" i="2"/>
  <c r="C261" i="2"/>
  <c r="C269" i="2"/>
  <c r="C277" i="2"/>
  <c r="C38" i="2"/>
  <c r="C126" i="2"/>
  <c r="C166" i="2"/>
  <c r="C190" i="2"/>
  <c r="C206" i="2"/>
  <c r="C222" i="2"/>
  <c r="C238" i="2"/>
  <c r="C246" i="2"/>
  <c r="C262" i="2"/>
  <c r="C270" i="2"/>
  <c r="C7" i="2"/>
  <c r="C71" i="2"/>
  <c r="C111" i="2"/>
  <c r="C151" i="2"/>
  <c r="C183" i="2"/>
  <c r="C215" i="2"/>
  <c r="C239" i="2"/>
  <c r="C279" i="2"/>
  <c r="C24" i="2"/>
  <c r="C56" i="2"/>
  <c r="C104" i="2"/>
  <c r="C144" i="2"/>
  <c r="C192" i="2"/>
  <c r="C232" i="2"/>
  <c r="C264" i="2"/>
  <c r="C17" i="2"/>
  <c r="C49" i="2"/>
  <c r="C81" i="2"/>
  <c r="C113" i="2"/>
  <c r="C145" i="2"/>
  <c r="C177" i="2"/>
  <c r="C201" i="2"/>
  <c r="C225" i="2"/>
  <c r="C249" i="2"/>
  <c r="C273" i="2"/>
  <c r="C6" i="2"/>
  <c r="C14" i="2"/>
  <c r="C22" i="2"/>
  <c r="C30" i="2"/>
  <c r="C46" i="2"/>
  <c r="C54" i="2"/>
  <c r="C62" i="2"/>
  <c r="C70" i="2"/>
  <c r="C78" i="2"/>
  <c r="C86" i="2"/>
  <c r="C94" i="2"/>
  <c r="C102" i="2"/>
  <c r="C110" i="2"/>
  <c r="C118" i="2"/>
  <c r="C134" i="2"/>
  <c r="C142" i="2"/>
  <c r="C150" i="2"/>
  <c r="C158" i="2"/>
  <c r="C174" i="2"/>
  <c r="C182" i="2"/>
  <c r="C198" i="2"/>
  <c r="C214" i="2"/>
  <c r="C230" i="2"/>
  <c r="C254" i="2"/>
  <c r="C278" i="2"/>
  <c r="C31" i="2"/>
  <c r="C127" i="2"/>
  <c r="C199" i="2"/>
  <c r="C263" i="2"/>
  <c r="C32" i="2"/>
  <c r="C72" i="2"/>
  <c r="C120" i="2"/>
  <c r="C160" i="2"/>
  <c r="C208" i="2"/>
  <c r="C240" i="2"/>
  <c r="C272" i="2"/>
  <c r="C25" i="2"/>
  <c r="C65" i="2"/>
  <c r="C97" i="2"/>
  <c r="C121" i="2"/>
  <c r="C129" i="2"/>
  <c r="C153" i="2"/>
  <c r="C169" i="2"/>
  <c r="C193" i="2"/>
  <c r="C217" i="2"/>
  <c r="C241" i="2"/>
  <c r="C265" i="2"/>
  <c r="C1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119" i="2"/>
  <c r="B123" i="2"/>
  <c r="B127" i="2"/>
  <c r="B131" i="2"/>
  <c r="B135" i="2"/>
  <c r="B139" i="2"/>
  <c r="B143" i="2"/>
  <c r="B147" i="2"/>
  <c r="B151" i="2"/>
  <c r="B155" i="2"/>
  <c r="B159" i="2"/>
  <c r="B163" i="2"/>
  <c r="B167" i="2"/>
  <c r="B171" i="2"/>
  <c r="B175" i="2"/>
  <c r="B179" i="2"/>
  <c r="B183" i="2"/>
  <c r="B187" i="2"/>
  <c r="B191" i="2"/>
  <c r="B195" i="2"/>
  <c r="B199" i="2"/>
  <c r="B203" i="2"/>
  <c r="B207" i="2"/>
  <c r="B211" i="2"/>
  <c r="B215" i="2"/>
  <c r="B219" i="2"/>
  <c r="B223" i="2"/>
  <c r="B227" i="2"/>
  <c r="B231" i="2"/>
  <c r="B235" i="2"/>
  <c r="B239" i="2"/>
  <c r="B243" i="2"/>
  <c r="B247" i="2"/>
  <c r="B251" i="2"/>
  <c r="B255" i="2"/>
  <c r="B259" i="2"/>
  <c r="B263" i="2"/>
  <c r="B267" i="2"/>
  <c r="B271" i="2"/>
  <c r="B275" i="2"/>
  <c r="B279" i="2"/>
  <c r="B283" i="2"/>
  <c r="B48" i="2"/>
  <c r="B60" i="2"/>
  <c r="B68" i="2"/>
  <c r="B76" i="2"/>
  <c r="B84" i="2"/>
  <c r="B92" i="2"/>
  <c r="B100" i="2"/>
  <c r="B112" i="2"/>
  <c r="B124" i="2"/>
  <c r="B136" i="2"/>
  <c r="B148" i="2"/>
  <c r="B156" i="2"/>
  <c r="B164" i="2"/>
  <c r="B172" i="2"/>
  <c r="B180" i="2"/>
  <c r="B184" i="2"/>
  <c r="B192" i="2"/>
  <c r="B196" i="2"/>
  <c r="B204" i="2"/>
  <c r="B208" i="2"/>
  <c r="B216" i="2"/>
  <c r="B224" i="2"/>
  <c r="B232" i="2"/>
  <c r="B240" i="2"/>
  <c r="B252" i="2"/>
  <c r="B260" i="2"/>
  <c r="B264" i="2"/>
  <c r="B272" i="2"/>
  <c r="B280" i="2"/>
  <c r="B284" i="2"/>
  <c r="B44" i="2"/>
  <c r="B52" i="2"/>
  <c r="B56" i="2"/>
  <c r="B64" i="2"/>
  <c r="B72" i="2"/>
  <c r="B80" i="2"/>
  <c r="B88" i="2"/>
  <c r="B96" i="2"/>
  <c r="B104" i="2"/>
  <c r="B108" i="2"/>
  <c r="B116" i="2"/>
  <c r="B120" i="2"/>
  <c r="B128" i="2"/>
  <c r="B132" i="2"/>
  <c r="B140" i="2"/>
  <c r="B144" i="2"/>
  <c r="B152" i="2"/>
  <c r="B160" i="2"/>
  <c r="B168" i="2"/>
  <c r="B176" i="2"/>
  <c r="B188" i="2"/>
  <c r="B200" i="2"/>
  <c r="B212" i="2"/>
  <c r="B220" i="2"/>
  <c r="B228" i="2"/>
  <c r="B236" i="2"/>
  <c r="B244" i="2"/>
  <c r="B248" i="2"/>
  <c r="B256" i="2"/>
  <c r="B268" i="2"/>
  <c r="B276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B177" i="2"/>
  <c r="B181" i="2"/>
  <c r="B185" i="2"/>
  <c r="B189" i="2"/>
  <c r="B193" i="2"/>
  <c r="B197" i="2"/>
  <c r="B201" i="2"/>
  <c r="B205" i="2"/>
  <c r="B209" i="2"/>
  <c r="B213" i="2"/>
  <c r="B217" i="2"/>
  <c r="B221" i="2"/>
  <c r="B225" i="2"/>
  <c r="B229" i="2"/>
  <c r="B233" i="2"/>
  <c r="B237" i="2"/>
  <c r="B241" i="2"/>
  <c r="B245" i="2"/>
  <c r="B249" i="2"/>
  <c r="B253" i="2"/>
  <c r="B257" i="2"/>
  <c r="B261" i="2"/>
  <c r="B265" i="2"/>
  <c r="B269" i="2"/>
  <c r="B273" i="2"/>
  <c r="B277" i="2"/>
  <c r="B281" i="2"/>
  <c r="B46" i="2"/>
  <c r="B58" i="2"/>
  <c r="B74" i="2"/>
  <c r="B106" i="2"/>
  <c r="B138" i="2"/>
  <c r="B170" i="2"/>
  <c r="B202" i="2"/>
  <c r="B234" i="2"/>
  <c r="B266" i="2"/>
  <c r="B62" i="2"/>
  <c r="B98" i="2"/>
  <c r="B162" i="2"/>
  <c r="B258" i="2"/>
  <c r="B190" i="2"/>
  <c r="B86" i="2"/>
  <c r="B118" i="2"/>
  <c r="B150" i="2"/>
  <c r="B182" i="2"/>
  <c r="B214" i="2"/>
  <c r="B246" i="2"/>
  <c r="B278" i="2"/>
  <c r="B130" i="2"/>
  <c r="B194" i="2"/>
  <c r="B226" i="2"/>
  <c r="B210" i="2"/>
  <c r="B242" i="2"/>
  <c r="B158" i="2"/>
  <c r="B222" i="2"/>
  <c r="B50" i="2"/>
  <c r="B78" i="2"/>
  <c r="B110" i="2"/>
  <c r="B142" i="2"/>
  <c r="B174" i="2"/>
  <c r="B206" i="2"/>
  <c r="B238" i="2"/>
  <c r="B270" i="2"/>
  <c r="B66" i="2"/>
  <c r="B90" i="2"/>
  <c r="B122" i="2"/>
  <c r="B154" i="2"/>
  <c r="B186" i="2"/>
  <c r="B218" i="2"/>
  <c r="B250" i="2"/>
  <c r="B282" i="2"/>
  <c r="B102" i="2"/>
  <c r="B134" i="2"/>
  <c r="B166" i="2"/>
  <c r="B198" i="2"/>
  <c r="B230" i="2"/>
  <c r="B262" i="2"/>
  <c r="B54" i="2"/>
  <c r="B70" i="2"/>
  <c r="B82" i="2"/>
  <c r="B114" i="2"/>
  <c r="B146" i="2"/>
  <c r="B178" i="2"/>
  <c r="B274" i="2"/>
  <c r="B94" i="2"/>
  <c r="B126" i="2"/>
  <c r="B254" i="2"/>
  <c r="B2" i="2"/>
  <c r="B10" i="2"/>
  <c r="B18" i="2"/>
  <c r="B26" i="2"/>
  <c r="B34" i="2"/>
  <c r="B42" i="2"/>
  <c r="B3" i="2"/>
  <c r="B11" i="2"/>
  <c r="B19" i="2"/>
  <c r="B27" i="2"/>
  <c r="B35" i="2"/>
  <c r="B4" i="2"/>
  <c r="B12" i="2"/>
  <c r="B20" i="2"/>
  <c r="B28" i="2"/>
  <c r="B36" i="2"/>
  <c r="B5" i="2"/>
  <c r="B13" i="2"/>
  <c r="B21" i="2"/>
  <c r="B29" i="2"/>
  <c r="B37" i="2"/>
  <c r="B7" i="2"/>
  <c r="B23" i="2"/>
  <c r="B39" i="2"/>
  <c r="B8" i="2"/>
  <c r="B32" i="2"/>
  <c r="B9" i="2"/>
  <c r="B25" i="2"/>
  <c r="B6" i="2"/>
  <c r="B14" i="2"/>
  <c r="B22" i="2"/>
  <c r="B30" i="2"/>
  <c r="B38" i="2"/>
  <c r="B15" i="2"/>
  <c r="B31" i="2"/>
  <c r="B16" i="2"/>
  <c r="B24" i="2"/>
  <c r="B40" i="2"/>
  <c r="B17" i="2"/>
  <c r="B33" i="2"/>
  <c r="B41" i="2"/>
  <c r="B1" i="2"/>
  <c r="Q15" i="2"/>
  <c r="Q12" i="2"/>
  <c r="O19" i="2"/>
  <c r="O12" i="2"/>
  <c r="L12" i="2"/>
  <c r="I15" i="2"/>
</calcChain>
</file>

<file path=xl/sharedStrings.xml><?xml version="1.0" encoding="utf-8"?>
<sst xmlns="http://schemas.openxmlformats.org/spreadsheetml/2006/main" count="14" uniqueCount="14">
  <si>
    <t>Alpha =</t>
  </si>
  <si>
    <t>6GCIA</t>
  </si>
  <si>
    <t>D values=</t>
  </si>
  <si>
    <t>GCIA1</t>
  </si>
  <si>
    <t>GCIA2</t>
  </si>
  <si>
    <t>GCIA3</t>
  </si>
  <si>
    <t>GCIA4</t>
  </si>
  <si>
    <t>GCIA5</t>
  </si>
  <si>
    <t>GCIA6</t>
  </si>
  <si>
    <t>r</t>
  </si>
  <si>
    <t>Z=</t>
  </si>
  <si>
    <t>Sum</t>
  </si>
  <si>
    <t>S2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</si>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</sst>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00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Sheet1!$B$6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Sheet1!$A$7:$A$107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Sheet1!$B$7:$B$107</c:f>
              <c:numCache>
                <c:formatCode>General</c:formatCode>
                <c:ptCount val="101"/>
                <c:pt idx="0">
                  <c:v>1.5792850049455048E-2</c:v>
                </c:pt>
                <c:pt idx="1">
                  <c:v>1.7000886369774221E-2</c:v>
                </c:pt>
                <c:pt idx="2">
                  <c:v>1.8274097154327561E-2</c:v>
                </c:pt>
                <c:pt idx="3">
                  <c:v>1.9613432558033148E-2</c:v>
                </c:pt>
                <c:pt idx="4">
                  <c:v>2.1019607174483937E-2</c:v>
                </c:pt>
                <c:pt idx="5">
                  <c:v>2.2493078374775592E-2</c:v>
                </c:pt>
                <c:pt idx="6">
                  <c:v>2.4034025058014812E-2</c:v>
                </c:pt>
                <c:pt idx="7">
                  <c:v>2.5642327039255539E-2</c:v>
                </c:pt>
                <c:pt idx="8">
                  <c:v>2.7317545309737051E-2</c:v>
                </c:pt>
                <c:pt idx="9">
                  <c:v>2.9058903411175008E-2</c:v>
                </c:pt>
                <c:pt idx="10">
                  <c:v>3.0865270170232245E-2</c:v>
                </c:pt>
                <c:pt idx="11">
                  <c:v>3.273514404094359E-2</c:v>
                </c:pt>
                <c:pt idx="12">
                  <c:v>3.4666639301581294E-2</c:v>
                </c:pt>
                <c:pt idx="13">
                  <c:v>3.6657474348057918E-2</c:v>
                </c:pt>
                <c:pt idx="14">
                  <c:v>3.8704962318332557E-2</c:v>
                </c:pt>
                <c:pt idx="15">
                  <c:v>4.0806004271324484E-2</c:v>
                </c:pt>
                <c:pt idx="16">
                  <c:v>4.2957085129496426E-2</c:v>
                </c:pt>
                <c:pt idx="17">
                  <c:v>4.5154272576542621E-2</c:v>
                </c:pt>
                <c:pt idx="18">
                  <c:v>4.7393219080573597E-2</c:v>
                </c:pt>
                <c:pt idx="19">
                  <c:v>4.9669167188910998E-2</c:v>
                </c:pt>
                <c:pt idx="20">
                  <c:v>5.1976958213277358E-2</c:v>
                </c:pt>
                <c:pt idx="21">
                  <c:v>5.4311044393988393E-2</c:v>
                </c:pt>
                <c:pt idx="22">
                  <c:v>5.666550459900431E-2</c:v>
                </c:pt>
                <c:pt idx="23">
                  <c:v>5.9034063578695964E-2</c:v>
                </c:pt>
                <c:pt idx="24">
                  <c:v>6.1410114760301233E-2</c:v>
                </c:pt>
                <c:pt idx="25">
                  <c:v>6.3786746527708021E-2</c:v>
                </c:pt>
                <c:pt idx="26">
                  <c:v>6.6156771892860206E-2</c:v>
                </c:pt>
                <c:pt idx="27">
                  <c:v>6.8512761425237961E-2</c:v>
                </c:pt>
                <c:pt idx="28">
                  <c:v>7.0847079266034799E-2</c:v>
                </c:pt>
                <c:pt idx="29">
                  <c:v>7.3151922014387125E-2</c:v>
                </c:pt>
                <c:pt idx="30">
                  <c:v>7.5419360234860483E-2</c:v>
                </c:pt>
                <c:pt idx="31">
                  <c:v>7.7641382298923714E-2</c:v>
                </c:pt>
                <c:pt idx="32">
                  <c:v>7.9809940238898425E-2</c:v>
                </c:pt>
                <c:pt idx="33">
                  <c:v>8.1916997261400643E-2</c:v>
                </c:pt>
                <c:pt idx="34">
                  <c:v>8.3954576539104681E-2</c:v>
                </c:pt>
                <c:pt idx="35">
                  <c:v>8.5914810875241832E-2</c:v>
                </c:pt>
                <c:pt idx="36">
                  <c:v>8.7789992815035744E-2</c:v>
                </c:pt>
                <c:pt idx="37">
                  <c:v>8.9572624762660175E-2</c:v>
                </c:pt>
                <c:pt idx="38">
                  <c:v>9.1255468651613617E-2</c:v>
                </c:pt>
                <c:pt idx="39">
                  <c:v>9.2831594710900328E-2</c:v>
                </c:pt>
                <c:pt idx="40">
                  <c:v>9.4294428869282243E-2</c:v>
                </c:pt>
                <c:pt idx="41">
                  <c:v>9.5637798345234643E-2</c:v>
                </c:pt>
                <c:pt idx="42">
                  <c:v>9.685597498113456E-2</c:v>
                </c:pt>
                <c:pt idx="43">
                  <c:v>9.7943715896589401E-2</c:v>
                </c:pt>
                <c:pt idx="44">
                  <c:v>9.8896301057542033E-2</c:v>
                </c:pt>
                <c:pt idx="45">
                  <c:v>9.9709567384653183E-2</c:v>
                </c:pt>
                <c:pt idx="46">
                  <c:v>0.1003799390561786</c:v>
                </c:pt>
                <c:pt idx="47">
                  <c:v>0.10090445369674433</c:v>
                </c:pt>
                <c:pt idx="48">
                  <c:v>0.10128078418365356</c:v>
                </c:pt>
                <c:pt idx="49">
                  <c:v>0.10150725584611907</c:v>
                </c:pt>
                <c:pt idx="50">
                  <c:v>0.10158285887954992</c:v>
                </c:pt>
                <c:pt idx="51">
                  <c:v>0.10150725584611912</c:v>
                </c:pt>
                <c:pt idx="52">
                  <c:v>0.10128078418365369</c:v>
                </c:pt>
                <c:pt idx="53">
                  <c:v>0.10090445369674451</c:v>
                </c:pt>
                <c:pt idx="54">
                  <c:v>0.10037993905617884</c:v>
                </c:pt>
                <c:pt idx="55">
                  <c:v>9.9709567384653475E-2</c:v>
                </c:pt>
                <c:pt idx="56">
                  <c:v>9.889630105754238E-2</c:v>
                </c:pt>
                <c:pt idx="57">
                  <c:v>9.7943715896589803E-2</c:v>
                </c:pt>
                <c:pt idx="58">
                  <c:v>9.6855974981134893E-2</c:v>
                </c:pt>
                <c:pt idx="59">
                  <c:v>9.5637798345235017E-2</c:v>
                </c:pt>
                <c:pt idx="60">
                  <c:v>9.4294428869282659E-2</c:v>
                </c:pt>
                <c:pt idx="61">
                  <c:v>9.2831594710900772E-2</c:v>
                </c:pt>
                <c:pt idx="62">
                  <c:v>9.1255468651614116E-2</c:v>
                </c:pt>
                <c:pt idx="63">
                  <c:v>8.9572624762660688E-2</c:v>
                </c:pt>
                <c:pt idx="64">
                  <c:v>8.77899928150363E-2</c:v>
                </c:pt>
                <c:pt idx="65">
                  <c:v>8.5914810875242414E-2</c:v>
                </c:pt>
                <c:pt idx="66">
                  <c:v>8.3954576539105277E-2</c:v>
                </c:pt>
                <c:pt idx="67">
                  <c:v>8.1916997261401267E-2</c:v>
                </c:pt>
                <c:pt idx="68">
                  <c:v>7.9809940238899049E-2</c:v>
                </c:pt>
                <c:pt idx="69">
                  <c:v>7.764138229892438E-2</c:v>
                </c:pt>
                <c:pt idx="70">
                  <c:v>7.5419360234861177E-2</c:v>
                </c:pt>
                <c:pt idx="71">
                  <c:v>7.3151922014388027E-2</c:v>
                </c:pt>
                <c:pt idx="72">
                  <c:v>7.0847079266035728E-2</c:v>
                </c:pt>
                <c:pt idx="73">
                  <c:v>6.8512761425238905E-2</c:v>
                </c:pt>
                <c:pt idx="74">
                  <c:v>6.6156771892861163E-2</c:v>
                </c:pt>
                <c:pt idx="75">
                  <c:v>6.3786746527708979E-2</c:v>
                </c:pt>
                <c:pt idx="76">
                  <c:v>6.1410114760302198E-2</c:v>
                </c:pt>
                <c:pt idx="77">
                  <c:v>5.9034063578696915E-2</c:v>
                </c:pt>
                <c:pt idx="78">
                  <c:v>5.6665504599005247E-2</c:v>
                </c:pt>
                <c:pt idx="79">
                  <c:v>5.431104439398933E-2</c:v>
                </c:pt>
                <c:pt idx="80">
                  <c:v>5.1976958213278301E-2</c:v>
                </c:pt>
                <c:pt idx="81">
                  <c:v>4.9669167188911914E-2</c:v>
                </c:pt>
                <c:pt idx="82">
                  <c:v>4.7393219080574499E-2</c:v>
                </c:pt>
                <c:pt idx="83">
                  <c:v>4.5154272576543503E-2</c:v>
                </c:pt>
                <c:pt idx="84">
                  <c:v>4.2957085129497301E-2</c:v>
                </c:pt>
                <c:pt idx="85">
                  <c:v>4.0806004271325337E-2</c:v>
                </c:pt>
                <c:pt idx="86">
                  <c:v>3.8704962318333182E-2</c:v>
                </c:pt>
                <c:pt idx="87">
                  <c:v>3.6657474348058529E-2</c:v>
                </c:pt>
                <c:pt idx="88">
                  <c:v>3.4666639301581884E-2</c:v>
                </c:pt>
                <c:pt idx="89">
                  <c:v>3.2735144040944152E-2</c:v>
                </c:pt>
                <c:pt idx="90">
                  <c:v>3.0865270170232804E-2</c:v>
                </c:pt>
                <c:pt idx="91">
                  <c:v>2.9058903411175525E-2</c:v>
                </c:pt>
                <c:pt idx="92">
                  <c:v>2.7317545309737564E-2</c:v>
                </c:pt>
                <c:pt idx="93">
                  <c:v>2.5642327039256035E-2</c:v>
                </c:pt>
                <c:pt idx="94">
                  <c:v>2.4034025058015284E-2</c:v>
                </c:pt>
                <c:pt idx="95">
                  <c:v>2.2493078374776047E-2</c:v>
                </c:pt>
                <c:pt idx="96">
                  <c:v>2.1019607174484364E-2</c:v>
                </c:pt>
                <c:pt idx="97">
                  <c:v>1.961343255803356E-2</c:v>
                </c:pt>
                <c:pt idx="98">
                  <c:v>1.8274097154327956E-2</c:v>
                </c:pt>
                <c:pt idx="99">
                  <c:v>1.7000886369774714E-2</c:v>
                </c:pt>
                <c:pt idx="100">
                  <c:v>1.579285004945552E-2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FE-490F-88D0-7ECA1F6121D3}"/>
            </c:ext>
          </c:extLst>
        </c:ser>
        <c:ser>
          <c:idx val="1"/>
          <c:order val="1"/>
          <c:tx>
            <c:strRef>
              <c:f>Sheet1!$C$6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Sheet1!$A$7:$A$107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Sheet1!$C$7:$C$107</c:f>
              <c:numCache>
                <c:formatCode>General</c:formatCode>
                <c:ptCount val="101"/>
                <c:pt idx="0">
                  <c:v>1.5121448855300334E-3</c:v>
                </c:pt>
                <c:pt idx="1">
                  <c:v>1.8388224187492134E-3</c:v>
                </c:pt>
                <c:pt idx="2">
                  <c:v>2.2272557380964486E-3</c:v>
                </c:pt>
                <c:pt idx="3">
                  <c:v>2.687102879935001E-3</c:v>
                </c:pt>
                <c:pt idx="4">
                  <c:v>3.2291068337284316E-3</c:v>
                </c:pt>
                <c:pt idx="5">
                  <c:v>3.8651330158402542E-3</c:v>
                </c:pt>
                <c:pt idx="6">
                  <c:v>4.6081901002159205E-3</c:v>
                </c:pt>
                <c:pt idx="7">
                  <c:v>5.4724303164464848E-3</c:v>
                </c:pt>
                <c:pt idx="8">
                  <c:v>6.4731251719830447E-3</c:v>
                </c:pt>
                <c:pt idx="9">
                  <c:v>7.6266125105571335E-3</c:v>
                </c:pt>
                <c:pt idx="10">
                  <c:v>8.950210906040014E-3</c:v>
                </c:pt>
                <c:pt idx="11">
                  <c:v>1.0462097631644626E-2</c:v>
                </c:pt>
                <c:pt idx="12">
                  <c:v>1.218114685760323E-2</c:v>
                </c:pt>
                <c:pt idx="13">
                  <c:v>1.4126725331412876E-2</c:v>
                </c:pt>
                <c:pt idx="14">
                  <c:v>1.6318443593287713E-2</c:v>
                </c:pt>
                <c:pt idx="15">
                  <c:v>1.8775861778751381E-2</c:v>
                </c:pt>
                <c:pt idx="16">
                  <c:v>2.1518150255512455E-2</c:v>
                </c:pt>
                <c:pt idx="17">
                  <c:v>2.4563706718954661E-2</c:v>
                </c:pt>
                <c:pt idx="18">
                  <c:v>2.7929732905924331E-2</c:v>
                </c:pt>
                <c:pt idx="19">
                  <c:v>3.1631775745778828E-2</c:v>
                </c:pt>
                <c:pt idx="20">
                  <c:v>3.568323950635096E-2</c:v>
                </c:pt>
                <c:pt idx="21">
                  <c:v>4.0094877256192964E-2</c:v>
                </c:pt>
                <c:pt idx="22">
                  <c:v>4.4874271690105043E-2</c:v>
                </c:pt>
                <c:pt idx="23">
                  <c:v>5.0025316982414761E-2</c:v>
                </c:pt>
                <c:pt idx="24">
                  <c:v>5.554771476689848E-2</c:v>
                </c:pt>
                <c:pt idx="25">
                  <c:v>6.1436498516850811E-2</c:v>
                </c:pt>
                <c:pt idx="26">
                  <c:v>6.7681601438187147E-2</c:v>
                </c:pt>
                <c:pt idx="27">
                  <c:v>7.4267483422148589E-2</c:v>
                </c:pt>
                <c:pt idx="28">
                  <c:v>8.1172832570461526E-2</c:v>
                </c:pt>
                <c:pt idx="29">
                  <c:v>8.8370356255524279E-2</c:v>
                </c:pt>
                <c:pt idx="30">
                  <c:v>9.5826675578321627E-2</c:v>
                </c:pt>
                <c:pt idx="31">
                  <c:v>0.10350233542356929</c:v>
                </c:pt>
                <c:pt idx="32">
                  <c:v>0.11135194009316134</c:v>
                </c:pt>
                <c:pt idx="33">
                  <c:v>0.11932442175696401</c:v>
                </c:pt>
                <c:pt idx="34">
                  <c:v>0.12736344575023295</c:v>
                </c:pt>
                <c:pt idx="35">
                  <c:v>0.13540795314911516</c:v>
                </c:pt>
                <c:pt idx="36">
                  <c:v>0.14339283717169271</c:v>
                </c:pt>
                <c:pt idx="37">
                  <c:v>0.1512497459030617</c:v>
                </c:pt>
                <c:pt idx="38">
                  <c:v>0.15890799976557815</c:v>
                </c:pt>
                <c:pt idx="39">
                  <c:v>0.16629560819654129</c:v>
                </c:pt>
                <c:pt idx="40">
                  <c:v>0.17334036630656321</c:v>
                </c:pt>
                <c:pt idx="41">
                  <c:v>0.17997100902203175</c:v>
                </c:pt>
                <c:pt idx="42">
                  <c:v>0.1861183975050138</c:v>
                </c:pt>
                <c:pt idx="43">
                  <c:v>0.19171671061884335</c:v>
                </c:pt>
                <c:pt idx="44">
                  <c:v>0.19670461297097955</c:v>
                </c:pt>
                <c:pt idx="45">
                  <c:v>0.20102637069274515</c:v>
                </c:pt>
                <c:pt idx="46">
                  <c:v>0.20463288665290477</c:v>
                </c:pt>
                <c:pt idx="47">
                  <c:v>0.20748262825846422</c:v>
                </c:pt>
                <c:pt idx="48">
                  <c:v>0.20954242334515377</c:v>
                </c:pt>
                <c:pt idx="49">
                  <c:v>0.21078810283909122</c:v>
                </c:pt>
                <c:pt idx="50">
                  <c:v>0.21120497278317235</c:v>
                </c:pt>
                <c:pt idx="51">
                  <c:v>0.21078810283909155</c:v>
                </c:pt>
                <c:pt idx="52">
                  <c:v>0.20954242334515444</c:v>
                </c:pt>
                <c:pt idx="53">
                  <c:v>0.20748262825846522</c:v>
                </c:pt>
                <c:pt idx="54">
                  <c:v>0.20463288665290608</c:v>
                </c:pt>
                <c:pt idx="55">
                  <c:v>0.20102637069274673</c:v>
                </c:pt>
                <c:pt idx="56">
                  <c:v>0.19670461297098144</c:v>
                </c:pt>
                <c:pt idx="57">
                  <c:v>0.19171671061884549</c:v>
                </c:pt>
                <c:pt idx="58">
                  <c:v>0.18611839750501555</c:v>
                </c:pt>
                <c:pt idx="59">
                  <c:v>0.17997100902203364</c:v>
                </c:pt>
                <c:pt idx="60">
                  <c:v>0.17334036630656527</c:v>
                </c:pt>
                <c:pt idx="61">
                  <c:v>0.16629560819654343</c:v>
                </c:pt>
                <c:pt idx="62">
                  <c:v>0.1589079997655804</c:v>
                </c:pt>
                <c:pt idx="63">
                  <c:v>0.15124974590306406</c:v>
                </c:pt>
                <c:pt idx="64">
                  <c:v>0.14339283717169513</c:v>
                </c:pt>
                <c:pt idx="65">
                  <c:v>0.13540795314911758</c:v>
                </c:pt>
                <c:pt idx="66">
                  <c:v>0.12736344575023539</c:v>
                </c:pt>
                <c:pt idx="67">
                  <c:v>0.11932442175696642</c:v>
                </c:pt>
                <c:pt idx="68">
                  <c:v>0.11135194009316372</c:v>
                </c:pt>
                <c:pt idx="69">
                  <c:v>0.10350233542357162</c:v>
                </c:pt>
                <c:pt idx="70">
                  <c:v>9.5826675578323917E-2</c:v>
                </c:pt>
                <c:pt idx="71">
                  <c:v>8.8370356255527222E-2</c:v>
                </c:pt>
                <c:pt idx="72">
                  <c:v>8.1172832570464343E-2</c:v>
                </c:pt>
                <c:pt idx="73">
                  <c:v>7.4267483422151295E-2</c:v>
                </c:pt>
                <c:pt idx="74">
                  <c:v>6.7681601438189715E-2</c:v>
                </c:pt>
                <c:pt idx="75">
                  <c:v>6.1436498516853275E-2</c:v>
                </c:pt>
                <c:pt idx="76">
                  <c:v>5.554771476690077E-2</c:v>
                </c:pt>
                <c:pt idx="77">
                  <c:v>5.0025316982416891E-2</c:v>
                </c:pt>
                <c:pt idx="78">
                  <c:v>4.4874271690107034E-2</c:v>
                </c:pt>
                <c:pt idx="79">
                  <c:v>4.0094877256194796E-2</c:v>
                </c:pt>
                <c:pt idx="80">
                  <c:v>3.5683239506352667E-2</c:v>
                </c:pt>
                <c:pt idx="81">
                  <c:v>3.1631775745780376E-2</c:v>
                </c:pt>
                <c:pt idx="82">
                  <c:v>2.7929732905925743E-2</c:v>
                </c:pt>
                <c:pt idx="83">
                  <c:v>2.4563706718955938E-2</c:v>
                </c:pt>
                <c:pt idx="84">
                  <c:v>2.1518150255513614E-2</c:v>
                </c:pt>
                <c:pt idx="85">
                  <c:v>1.8775861778752432E-2</c:v>
                </c:pt>
                <c:pt idx="86">
                  <c:v>1.631844359328841E-2</c:v>
                </c:pt>
                <c:pt idx="87">
                  <c:v>1.4126725331413497E-2</c:v>
                </c:pt>
                <c:pt idx="88">
                  <c:v>1.2181146857603771E-2</c:v>
                </c:pt>
                <c:pt idx="89">
                  <c:v>1.0462097631645104E-2</c:v>
                </c:pt>
                <c:pt idx="90">
                  <c:v>8.950210906040439E-3</c:v>
                </c:pt>
                <c:pt idx="91">
                  <c:v>7.6266125105574952E-3</c:v>
                </c:pt>
                <c:pt idx="92">
                  <c:v>6.4731251719833665E-3</c:v>
                </c:pt>
                <c:pt idx="93">
                  <c:v>5.4724303164467667E-3</c:v>
                </c:pt>
                <c:pt idx="94">
                  <c:v>4.6081901002161642E-3</c:v>
                </c:pt>
                <c:pt idx="95">
                  <c:v>3.8651330158404633E-3</c:v>
                </c:pt>
                <c:pt idx="96">
                  <c:v>3.2291068337286033E-3</c:v>
                </c:pt>
                <c:pt idx="97">
                  <c:v>2.6871028799351515E-3</c:v>
                </c:pt>
                <c:pt idx="98">
                  <c:v>2.2272557380965774E-3</c:v>
                </c:pt>
                <c:pt idx="99">
                  <c:v>1.8388224187493557E-3</c:v>
                </c:pt>
                <c:pt idx="100">
                  <c:v>1.5121448855301529E-3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FE-490F-88D0-7ECA1F6121D3}"/>
            </c:ext>
          </c:extLst>
        </c:ser>
        <c:ser>
          <c:idx val="2"/>
          <c:order val="2"/>
          <c:tx>
            <c:strRef>
              <c:f>Sheet1!$D$6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Sheet1!$A$7:$A$107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Sheet1!$D$7:$D$107</c:f>
              <c:numCache>
                <c:formatCode>General</c:formatCode>
                <c:ptCount val="101"/>
                <c:pt idx="0">
                  <c:v>2.4667781925852177E-7</c:v>
                </c:pt>
                <c:pt idx="1">
                  <c:v>4.3744222053097704E-7</c:v>
                </c:pt>
                <c:pt idx="2">
                  <c:v>7.6680550452940869E-7</c:v>
                </c:pt>
                <c:pt idx="3">
                  <c:v>1.328690021661213E-6</c:v>
                </c:pt>
                <c:pt idx="4">
                  <c:v>2.275810267966991E-6</c:v>
                </c:pt>
                <c:pt idx="5">
                  <c:v>3.85320716246881E-6</c:v>
                </c:pt>
                <c:pt idx="6">
                  <c:v>6.4488547102316521E-6</c:v>
                </c:pt>
                <c:pt idx="7">
                  <c:v>1.0668828982920891E-5</c:v>
                </c:pt>
                <c:pt idx="8">
                  <c:v>1.7447163943919361E-5</c:v>
                </c:pt>
                <c:pt idx="9">
                  <c:v>2.8203750082059406E-5</c:v>
                </c:pt>
                <c:pt idx="10">
                  <c:v>4.5067430814322185E-5</c:v>
                </c:pt>
                <c:pt idx="11">
                  <c:v>7.1185685420202018E-5</c:v>
                </c:pt>
                <c:pt idx="12">
                  <c:v>1.1114667336650671E-4</c:v>
                </c:pt>
                <c:pt idx="13">
                  <c:v>1.7154347117683859E-4</c:v>
                </c:pt>
                <c:pt idx="14">
                  <c:v>2.617133316516037E-4</c:v>
                </c:pt>
                <c:pt idx="15">
                  <c:v>3.9468573109007463E-4</c:v>
                </c:pt>
                <c:pt idx="16">
                  <c:v>5.8837055838257385E-4</c:v>
                </c:pt>
                <c:pt idx="17">
                  <c:v>8.6701052020326608E-4</c:v>
                </c:pt>
                <c:pt idx="18">
                  <c:v>1.2629080422788205E-3</c:v>
                </c:pt>
                <c:pt idx="19">
                  <c:v>1.818415053137071E-3</c:v>
                </c:pt>
                <c:pt idx="20">
                  <c:v>2.5881427971377298E-3</c:v>
                </c:pt>
                <c:pt idx="21">
                  <c:v>3.6413076868232644E-3</c:v>
                </c:pt>
                <c:pt idx="22">
                  <c:v>5.0640787301746834E-3</c:v>
                </c:pt>
                <c:pt idx="23">
                  <c:v>6.9617343516112633E-3</c:v>
                </c:pt>
                <c:pt idx="24">
                  <c:v>9.4603754624595984E-3</c:v>
                </c:pt>
                <c:pt idx="25">
                  <c:v>1.2707883536119154E-2</c:v>
                </c:pt>
                <c:pt idx="26">
                  <c:v>1.6873765385712322E-2</c:v>
                </c:pt>
                <c:pt idx="27">
                  <c:v>2.2147500187143978E-2</c:v>
                </c:pt>
                <c:pt idx="28">
                  <c:v>2.873500976398911E-2</c:v>
                </c:pt>
                <c:pt idx="29">
                  <c:v>3.6852920593151921E-2</c:v>
                </c:pt>
                <c:pt idx="30">
                  <c:v>4.6720383723867068E-2</c:v>
                </c:pt>
                <c:pt idx="31">
                  <c:v>5.8548371261787892E-2</c:v>
                </c:pt>
                <c:pt idx="32">
                  <c:v>7.2526573936242025E-2</c:v>
                </c:pt>
                <c:pt idx="33">
                  <c:v>8.8808274925447336E-2</c:v>
                </c:pt>
                <c:pt idx="34">
                  <c:v>0.1074938537757294</c:v>
                </c:pt>
                <c:pt idx="35">
                  <c:v>0.12861385610404022</c:v>
                </c:pt>
                <c:pt idx="36">
                  <c:v>0.15211281838564322</c:v>
                </c:pt>
                <c:pt idx="37">
                  <c:v>0.1778352272115567</c:v>
                </c:pt>
                <c:pt idx="38">
                  <c:v>0.20551508380508282</c:v>
                </c:pt>
                <c:pt idx="39">
                  <c:v>0.23477050716867101</c:v>
                </c:pt>
                <c:pt idx="40">
                  <c:v>0.26510462297578369</c:v>
                </c:pt>
                <c:pt idx="41">
                  <c:v>0.29591364495831057</c:v>
                </c:pt>
                <c:pt idx="42">
                  <c:v>0.32650257382188008</c:v>
                </c:pt>
                <c:pt idx="43">
                  <c:v>0.35610834760538534</c:v>
                </c:pt>
                <c:pt idx="44">
                  <c:v>0.38392962660907565</c:v>
                </c:pt>
                <c:pt idx="45">
                  <c:v>0.40916174882115058</c:v>
                </c:pt>
                <c:pt idx="46">
                  <c:v>0.43103481829756224</c:v>
                </c:pt>
                <c:pt idx="47">
                  <c:v>0.44885245770791388</c:v>
                </c:pt>
                <c:pt idx="48">
                  <c:v>0.46202852507113773</c:v>
                </c:pt>
                <c:pt idx="49">
                  <c:v>0.47011910230169313</c:v>
                </c:pt>
                <c:pt idx="50">
                  <c:v>0.47284732286916265</c:v>
                </c:pt>
                <c:pt idx="51">
                  <c:v>0.47011910230169535</c:v>
                </c:pt>
                <c:pt idx="52">
                  <c:v>0.46202852507114206</c:v>
                </c:pt>
                <c:pt idx="53">
                  <c:v>0.44885245770792009</c:v>
                </c:pt>
                <c:pt idx="54">
                  <c:v>0.43103481829757029</c:v>
                </c:pt>
                <c:pt idx="55">
                  <c:v>0.40916174882116002</c:v>
                </c:pt>
                <c:pt idx="56">
                  <c:v>0.38392962660908631</c:v>
                </c:pt>
                <c:pt idx="57">
                  <c:v>0.35610834760539695</c:v>
                </c:pt>
                <c:pt idx="58">
                  <c:v>0.32650257382188919</c:v>
                </c:pt>
                <c:pt idx="59">
                  <c:v>0.29591364495831984</c:v>
                </c:pt>
                <c:pt idx="60">
                  <c:v>0.26510462297579285</c:v>
                </c:pt>
                <c:pt idx="61">
                  <c:v>0.23477050716867995</c:v>
                </c:pt>
                <c:pt idx="62">
                  <c:v>0.20551508380509134</c:v>
                </c:pt>
                <c:pt idx="63">
                  <c:v>0.17783522721156472</c:v>
                </c:pt>
                <c:pt idx="64">
                  <c:v>0.15211281838565063</c:v>
                </c:pt>
                <c:pt idx="65">
                  <c:v>0.12861385610404691</c:v>
                </c:pt>
                <c:pt idx="66">
                  <c:v>0.10749385377573537</c:v>
                </c:pt>
                <c:pt idx="67">
                  <c:v>8.8808274925452568E-2</c:v>
                </c:pt>
                <c:pt idx="68">
                  <c:v>7.2526573936246549E-2</c:v>
                </c:pt>
                <c:pt idx="69">
                  <c:v>5.8548371261791764E-2</c:v>
                </c:pt>
                <c:pt idx="70">
                  <c:v>4.6720383723870322E-2</c:v>
                </c:pt>
                <c:pt idx="71">
                  <c:v>3.6852920593155501E-2</c:v>
                </c:pt>
                <c:pt idx="72">
                  <c:v>2.8735009763992032E-2</c:v>
                </c:pt>
                <c:pt idx="73">
                  <c:v>2.2147500187146337E-2</c:v>
                </c:pt>
                <c:pt idx="74">
                  <c:v>1.6873765385714192E-2</c:v>
                </c:pt>
                <c:pt idx="75">
                  <c:v>1.2707883536120639E-2</c:v>
                </c:pt>
                <c:pt idx="76">
                  <c:v>9.4603754624607347E-3</c:v>
                </c:pt>
                <c:pt idx="77">
                  <c:v>6.9617343516121359E-3</c:v>
                </c:pt>
                <c:pt idx="78">
                  <c:v>5.06407873017534E-3</c:v>
                </c:pt>
                <c:pt idx="79">
                  <c:v>3.6413076868237531E-3</c:v>
                </c:pt>
                <c:pt idx="80">
                  <c:v>2.5881427971380928E-3</c:v>
                </c:pt>
                <c:pt idx="81">
                  <c:v>1.8184150531373323E-3</c:v>
                </c:pt>
                <c:pt idx="82">
                  <c:v>1.2629080422790079E-3</c:v>
                </c:pt>
                <c:pt idx="83">
                  <c:v>8.6701052020339846E-4</c:v>
                </c:pt>
                <c:pt idx="84">
                  <c:v>5.8837055838266634E-4</c:v>
                </c:pt>
                <c:pt idx="85">
                  <c:v>3.9468573109013914E-4</c:v>
                </c:pt>
                <c:pt idx="86">
                  <c:v>2.6171333165163644E-4</c:v>
                </c:pt>
                <c:pt idx="87">
                  <c:v>1.7154347117686068E-4</c:v>
                </c:pt>
                <c:pt idx="88">
                  <c:v>1.1114667336652113E-4</c:v>
                </c:pt>
                <c:pt idx="89">
                  <c:v>7.1185685420211626E-5</c:v>
                </c:pt>
                <c:pt idx="90">
                  <c:v>4.5067430814328514E-5</c:v>
                </c:pt>
                <c:pt idx="91">
                  <c:v>2.8203750082063363E-5</c:v>
                </c:pt>
                <c:pt idx="92">
                  <c:v>1.7447163943921929E-5</c:v>
                </c:pt>
                <c:pt idx="93">
                  <c:v>1.0668828982922501E-5</c:v>
                </c:pt>
                <c:pt idx="94">
                  <c:v>6.4488547102326491E-6</c:v>
                </c:pt>
                <c:pt idx="95">
                  <c:v>3.8532071624694123E-6</c:v>
                </c:pt>
                <c:pt idx="96">
                  <c:v>2.2758102679673425E-6</c:v>
                </c:pt>
                <c:pt idx="97">
                  <c:v>1.32869002166143E-6</c:v>
                </c:pt>
                <c:pt idx="98">
                  <c:v>7.6680550452953669E-7</c:v>
                </c:pt>
                <c:pt idx="99">
                  <c:v>4.3744222053107572E-7</c:v>
                </c:pt>
                <c:pt idx="100">
                  <c:v>2.4667781925857874E-7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FE-490F-88D0-7ECA1F6121D3}"/>
            </c:ext>
          </c:extLst>
        </c:ser>
        <c:ser>
          <c:idx val="3"/>
          <c:order val="3"/>
          <c:tx>
            <c:strRef>
              <c:f>Sheet1!$E$6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Sheet1!$A$7:$A$107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Sheet1!$E$7:$E$107</c:f>
              <c:numCache>
                <c:formatCode>General</c:formatCode>
                <c:ptCount val="101"/>
                <c:pt idx="0">
                  <c:v>3.9503655351094245E-23</c:v>
                </c:pt>
                <c:pt idx="1">
                  <c:v>3.0717140312647769E-22</c:v>
                </c:pt>
                <c:pt idx="2">
                  <c:v>2.2915506523577564E-21</c:v>
                </c:pt>
                <c:pt idx="3">
                  <c:v>1.6401490735042803E-20</c:v>
                </c:pt>
                <c:pt idx="4">
                  <c:v>1.1262696118422838E-19</c:v>
                </c:pt>
                <c:pt idx="5">
                  <c:v>7.4200459003359895E-19</c:v>
                </c:pt>
                <c:pt idx="6">
                  <c:v>4.6900340858105236E-18</c:v>
                </c:pt>
                <c:pt idx="7">
                  <c:v>2.8441374972436071E-17</c:v>
                </c:pt>
                <c:pt idx="8">
                  <c:v>1.6547422627218716E-16</c:v>
                </c:pt>
                <c:pt idx="9">
                  <c:v>9.2366675349166863E-16</c:v>
                </c:pt>
                <c:pt idx="10">
                  <c:v>4.9465846622086267E-15</c:v>
                </c:pt>
                <c:pt idx="11">
                  <c:v>2.5415623191426337E-14</c:v>
                </c:pt>
                <c:pt idx="12">
                  <c:v>1.2528563008074024E-13</c:v>
                </c:pt>
                <c:pt idx="13">
                  <c:v>5.9252535847839412E-13</c:v>
                </c:pt>
                <c:pt idx="14">
                  <c:v>2.6885480572684744E-12</c:v>
                </c:pt>
                <c:pt idx="15">
                  <c:v>1.1703987459322599E-11</c:v>
                </c:pt>
                <c:pt idx="16">
                  <c:v>4.8882687367593239E-11</c:v>
                </c:pt>
                <c:pt idx="17">
                  <c:v>1.9587611483643515E-10</c:v>
                </c:pt>
                <c:pt idx="18">
                  <c:v>7.5303137397006962E-10</c:v>
                </c:pt>
                <c:pt idx="19">
                  <c:v>2.7774729770480273E-9</c:v>
                </c:pt>
                <c:pt idx="20">
                  <c:v>9.8286030507210648E-9</c:v>
                </c:pt>
                <c:pt idx="21">
                  <c:v>3.3368672584000167E-8</c:v>
                </c:pt>
                <c:pt idx="22">
                  <c:v>1.0869041516111639E-7</c:v>
                </c:pt>
                <c:pt idx="23">
                  <c:v>3.3966339524884483E-7</c:v>
                </c:pt>
                <c:pt idx="24">
                  <c:v>1.0183836711109181E-6</c:v>
                </c:pt>
                <c:pt idx="25">
                  <c:v>2.9294041315246748E-6</c:v>
                </c:pt>
                <c:pt idx="26">
                  <c:v>8.0844845268383537E-6</c:v>
                </c:pt>
                <c:pt idx="27">
                  <c:v>2.1405755495736666E-5</c:v>
                </c:pt>
                <c:pt idx="28">
                  <c:v>5.4376840345282329E-5</c:v>
                </c:pt>
                <c:pt idx="29">
                  <c:v>1.3252644816063227E-4</c:v>
                </c:pt>
                <c:pt idx="30">
                  <c:v>3.09881985873238E-4</c:v>
                </c:pt>
                <c:pt idx="31">
                  <c:v>6.9517682263764088E-4</c:v>
                </c:pt>
                <c:pt idx="32">
                  <c:v>1.4962336571406501E-3</c:v>
                </c:pt>
                <c:pt idx="33">
                  <c:v>3.0896461051853411E-3</c:v>
                </c:pt>
                <c:pt idx="34">
                  <c:v>6.1210120792884268E-3</c:v>
                </c:pt>
                <c:pt idx="35">
                  <c:v>1.1634371244488705E-2</c:v>
                </c:pt>
                <c:pt idx="36">
                  <c:v>2.1216208793645688E-2</c:v>
                </c:pt>
                <c:pt idx="37">
                  <c:v>3.71191331603654E-2</c:v>
                </c:pt>
                <c:pt idx="38">
                  <c:v>6.2306456451827939E-2</c:v>
                </c:pt>
                <c:pt idx="39">
                  <c:v>0.1003398531252636</c:v>
                </c:pt>
                <c:pt idx="40">
                  <c:v>0.15503117958221369</c:v>
                </c:pt>
                <c:pt idx="41">
                  <c:v>0.22981047679090633</c:v>
                </c:pt>
                <c:pt idx="42">
                  <c:v>0.32683290789995922</c:v>
                </c:pt>
                <c:pt idx="43">
                  <c:v>0.44595076577362819</c:v>
                </c:pt>
                <c:pt idx="44">
                  <c:v>0.5837854033519615</c:v>
                </c:pt>
                <c:pt idx="45">
                  <c:v>0.73320384147871476</c:v>
                </c:pt>
                <c:pt idx="46">
                  <c:v>0.88348954253600953</c:v>
                </c:pt>
                <c:pt idx="47">
                  <c:v>1.0213704217781669</c:v>
                </c:pt>
                <c:pt idx="48">
                  <c:v>1.1328445565567418</c:v>
                </c:pt>
                <c:pt idx="49">
                  <c:v>1.2054870501826684</c:v>
                </c:pt>
                <c:pt idx="50">
                  <c:v>1.2307219843212114</c:v>
                </c:pt>
                <c:pt idx="51">
                  <c:v>1.2054870501826882</c:v>
                </c:pt>
                <c:pt idx="52">
                  <c:v>1.1328445565567793</c:v>
                </c:pt>
                <c:pt idx="53">
                  <c:v>1.0213704217782178</c:v>
                </c:pt>
                <c:pt idx="54">
                  <c:v>0.88348954253606815</c:v>
                </c:pt>
                <c:pt idx="55">
                  <c:v>0.73320384147877549</c:v>
                </c:pt>
                <c:pt idx="56">
                  <c:v>0.58378540335201945</c:v>
                </c:pt>
                <c:pt idx="57">
                  <c:v>0.44595076577367998</c:v>
                </c:pt>
                <c:pt idx="58">
                  <c:v>0.32683290789999175</c:v>
                </c:pt>
                <c:pt idx="59">
                  <c:v>0.22981047679093203</c:v>
                </c:pt>
                <c:pt idx="60">
                  <c:v>0.15503117958223289</c:v>
                </c:pt>
                <c:pt idx="61">
                  <c:v>0.10033985312527734</c:v>
                </c:pt>
                <c:pt idx="62">
                  <c:v>6.2306456451837244E-2</c:v>
                </c:pt>
                <c:pt idx="63">
                  <c:v>3.7119133160371402E-2</c:v>
                </c:pt>
                <c:pt idx="64">
                  <c:v>2.1216208793649383E-2</c:v>
                </c:pt>
                <c:pt idx="65">
                  <c:v>1.1634371244490866E-2</c:v>
                </c:pt>
                <c:pt idx="66">
                  <c:v>6.1210120792896446E-3</c:v>
                </c:pt>
                <c:pt idx="67">
                  <c:v>3.0896461051859946E-3</c:v>
                </c:pt>
                <c:pt idx="68">
                  <c:v>1.4962336571409838E-3</c:v>
                </c:pt>
                <c:pt idx="69">
                  <c:v>6.9517682263780525E-4</c:v>
                </c:pt>
                <c:pt idx="70">
                  <c:v>3.0988198587331563E-4</c:v>
                </c:pt>
                <c:pt idx="71">
                  <c:v>1.3252644816067841E-4</c:v>
                </c:pt>
                <c:pt idx="72">
                  <c:v>5.4376840345302129E-5</c:v>
                </c:pt>
                <c:pt idx="73">
                  <c:v>2.1405755495744841E-5</c:v>
                </c:pt>
                <c:pt idx="74">
                  <c:v>8.0844845268415707E-6</c:v>
                </c:pt>
                <c:pt idx="75">
                  <c:v>2.929404131525903E-6</c:v>
                </c:pt>
                <c:pt idx="76">
                  <c:v>1.0183836711113577E-6</c:v>
                </c:pt>
                <c:pt idx="77">
                  <c:v>3.3966339524899687E-7</c:v>
                </c:pt>
                <c:pt idx="78">
                  <c:v>1.0869041516116698E-7</c:v>
                </c:pt>
                <c:pt idx="79">
                  <c:v>3.3368672584016175E-8</c:v>
                </c:pt>
                <c:pt idx="80">
                  <c:v>9.8286030507259882E-9</c:v>
                </c:pt>
                <c:pt idx="81">
                  <c:v>2.777472977049448E-9</c:v>
                </c:pt>
                <c:pt idx="82">
                  <c:v>7.5303137397046822E-10</c:v>
                </c:pt>
                <c:pt idx="83">
                  <c:v>1.9587611483654163E-10</c:v>
                </c:pt>
                <c:pt idx="84">
                  <c:v>4.8882687367620678E-11</c:v>
                </c:pt>
                <c:pt idx="85">
                  <c:v>1.170398745932946E-11</c:v>
                </c:pt>
                <c:pt idx="86">
                  <c:v>2.6885480572696873E-12</c:v>
                </c:pt>
                <c:pt idx="87">
                  <c:v>5.9252535847866776E-13</c:v>
                </c:pt>
                <c:pt idx="88">
                  <c:v>1.2528563008079898E-13</c:v>
                </c:pt>
                <c:pt idx="89">
                  <c:v>2.5415623191438527E-14</c:v>
                </c:pt>
                <c:pt idx="90">
                  <c:v>4.9465846622110871E-15</c:v>
                </c:pt>
                <c:pt idx="91">
                  <c:v>9.2366675349212815E-16</c:v>
                </c:pt>
                <c:pt idx="92">
                  <c:v>1.6547422627227419E-16</c:v>
                </c:pt>
                <c:pt idx="93">
                  <c:v>2.8441374972451429E-17</c:v>
                </c:pt>
                <c:pt idx="94">
                  <c:v>4.6900340858130897E-18</c:v>
                </c:pt>
                <c:pt idx="95">
                  <c:v>7.4200459003402083E-19</c:v>
                </c:pt>
                <c:pt idx="96">
                  <c:v>1.126269611842916E-19</c:v>
                </c:pt>
                <c:pt idx="97">
                  <c:v>1.6401490735052475E-20</c:v>
                </c:pt>
                <c:pt idx="98">
                  <c:v>2.2915506523591403E-21</c:v>
                </c:pt>
                <c:pt idx="99">
                  <c:v>3.0717140312672656E-22</c:v>
                </c:pt>
                <c:pt idx="100">
                  <c:v>3.9503655351126806E-23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FE-490F-88D0-7ECA1F6121D3}"/>
            </c:ext>
          </c:extLst>
        </c:ser>
        <c:ser>
          <c:idx val="4"/>
          <c:order val="4"/>
          <c:tx>
            <c:strRef>
              <c:f>Sheet1!$F$6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Sheet1!$A$7:$A$107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Sheet1!$F$7:$F$107</c:f>
              <c:numCache>
                <c:formatCode>General</c:formatCode>
                <c:ptCount val="101"/>
                <c:pt idx="0">
                  <c:v>7.8322752033746093E-123</c:v>
                </c:pt>
                <c:pt idx="1">
                  <c:v>5.6852299672488774E-118</c:v>
                </c:pt>
                <c:pt idx="2">
                  <c:v>3.2916142995567146E-113</c:v>
                </c:pt>
                <c:pt idx="3">
                  <c:v>1.5200947189674415E-108</c:v>
                </c:pt>
                <c:pt idx="4">
                  <c:v>5.5992926432119824E-104</c:v>
                </c:pt>
                <c:pt idx="5">
                  <c:v>1.6451158562694691E-99</c:v>
                </c:pt>
                <c:pt idx="6">
                  <c:v>3.8553216441203943E-95</c:v>
                </c:pt>
                <c:pt idx="7">
                  <c:v>7.2065192456114948E-91</c:v>
                </c:pt>
                <c:pt idx="8">
                  <c:v>1.0744625705061183E-86</c:v>
                </c:pt>
                <c:pt idx="9">
                  <c:v>1.2777851533224303E-82</c:v>
                </c:pt>
                <c:pt idx="10">
                  <c:v>1.2120629899535364E-78</c:v>
                </c:pt>
                <c:pt idx="11">
                  <c:v>9.1705070504153693E-75</c:v>
                </c:pt>
                <c:pt idx="12">
                  <c:v>5.5342951133019841E-71</c:v>
                </c:pt>
                <c:pt idx="13">
                  <c:v>2.6639869000594806E-67</c:v>
                </c:pt>
                <c:pt idx="14">
                  <c:v>1.0228281262206282E-63</c:v>
                </c:pt>
                <c:pt idx="15">
                  <c:v>3.1323771348703253E-60</c:v>
                </c:pt>
                <c:pt idx="16">
                  <c:v>7.6514938656478799E-57</c:v>
                </c:pt>
                <c:pt idx="17">
                  <c:v>1.4907994703645254E-53</c:v>
                </c:pt>
                <c:pt idx="18">
                  <c:v>2.3168239353603086E-50</c:v>
                </c:pt>
                <c:pt idx="19">
                  <c:v>2.8718889252601264E-47</c:v>
                </c:pt>
                <c:pt idx="20">
                  <c:v>2.8395077122966082E-44</c:v>
                </c:pt>
                <c:pt idx="21">
                  <c:v>2.2393360539080903E-41</c:v>
                </c:pt>
                <c:pt idx="22">
                  <c:v>1.4086279400184702E-38</c:v>
                </c:pt>
                <c:pt idx="23">
                  <c:v>7.0676352864564853E-36</c:v>
                </c:pt>
                <c:pt idx="24">
                  <c:v>2.8284777614920588E-33</c:v>
                </c:pt>
                <c:pt idx="25">
                  <c:v>9.0288453179364135E-31</c:v>
                </c:pt>
                <c:pt idx="26">
                  <c:v>2.2988596795794116E-28</c:v>
                </c:pt>
                <c:pt idx="27">
                  <c:v>4.6686736787729046E-26</c:v>
                </c:pt>
                <c:pt idx="28">
                  <c:v>7.5626740390974715E-24</c:v>
                </c:pt>
                <c:pt idx="29">
                  <c:v>9.7714283268035374E-22</c:v>
                </c:pt>
                <c:pt idx="30">
                  <c:v>1.0070279525125951E-19</c:v>
                </c:pt>
                <c:pt idx="31">
                  <c:v>8.2780073279850697E-18</c:v>
                </c:pt>
                <c:pt idx="32">
                  <c:v>5.4276382391213455E-16</c:v>
                </c:pt>
                <c:pt idx="33">
                  <c:v>2.8385515560231792E-14</c:v>
                </c:pt>
                <c:pt idx="34">
                  <c:v>1.184086653188157E-12</c:v>
                </c:pt>
                <c:pt idx="35">
                  <c:v>3.9397711095681685E-11</c:v>
                </c:pt>
                <c:pt idx="36">
                  <c:v>1.045584899855123E-9</c:v>
                </c:pt>
                <c:pt idx="37">
                  <c:v>2.213341464696177E-8</c:v>
                </c:pt>
                <c:pt idx="38">
                  <c:v>3.7371311901534523E-7</c:v>
                </c:pt>
                <c:pt idx="39">
                  <c:v>5.0330248371096282E-6</c:v>
                </c:pt>
                <c:pt idx="40">
                  <c:v>5.4065548018402411E-5</c:v>
                </c:pt>
                <c:pt idx="41">
                  <c:v>4.6324735830982725E-4</c:v>
                </c:pt>
                <c:pt idx="42">
                  <c:v>3.1659649278574951E-3</c:v>
                </c:pt>
                <c:pt idx="43">
                  <c:v>1.7258381053350376E-2</c:v>
                </c:pt>
                <c:pt idx="44">
                  <c:v>7.5040343605481591E-2</c:v>
                </c:pt>
                <c:pt idx="45">
                  <c:v>0.26024978559488487</c:v>
                </c:pt>
                <c:pt idx="46">
                  <c:v>0.71992416757580524</c:v>
                </c:pt>
                <c:pt idx="47">
                  <c:v>1.5884879750089496</c:v>
                </c:pt>
                <c:pt idx="48">
                  <c:v>2.7956443163394336</c:v>
                </c:pt>
                <c:pt idx="49">
                  <c:v>3.9244672308959809</c:v>
                </c:pt>
                <c:pt idx="50">
                  <c:v>4.3942049001060717</c:v>
                </c:pt>
                <c:pt idx="51">
                  <c:v>3.9244672308963344</c:v>
                </c:pt>
                <c:pt idx="52">
                  <c:v>2.7956443163399389</c:v>
                </c:pt>
                <c:pt idx="53">
                  <c:v>1.5884879750093803</c:v>
                </c:pt>
                <c:pt idx="54">
                  <c:v>0.71992416757606592</c:v>
                </c:pt>
                <c:pt idx="55">
                  <c:v>0.26024978559500256</c:v>
                </c:pt>
                <c:pt idx="56">
                  <c:v>7.5040343605522253E-2</c:v>
                </c:pt>
                <c:pt idx="57">
                  <c:v>1.7258381053361332E-2</c:v>
                </c:pt>
                <c:pt idx="58">
                  <c:v>3.1659649278592186E-3</c:v>
                </c:pt>
                <c:pt idx="59">
                  <c:v>4.6324735831011028E-4</c:v>
                </c:pt>
                <c:pt idx="60">
                  <c:v>5.4065548018439003E-5</c:v>
                </c:pt>
                <c:pt idx="61">
                  <c:v>5.0330248371133831E-6</c:v>
                </c:pt>
                <c:pt idx="62">
                  <c:v>3.7371311901564927E-7</c:v>
                </c:pt>
                <c:pt idx="63">
                  <c:v>2.2133414646981272E-8</c:v>
                </c:pt>
                <c:pt idx="64">
                  <c:v>1.0455848998561185E-9</c:v>
                </c:pt>
                <c:pt idx="65">
                  <c:v>3.9397711095721849E-11</c:v>
                </c:pt>
                <c:pt idx="66">
                  <c:v>1.1840866531894398E-12</c:v>
                </c:pt>
                <c:pt idx="67">
                  <c:v>2.8385515560264466E-14</c:v>
                </c:pt>
                <c:pt idx="68">
                  <c:v>5.4276382391279404E-16</c:v>
                </c:pt>
                <c:pt idx="69">
                  <c:v>8.2780073279957163E-18</c:v>
                </c:pt>
                <c:pt idx="70">
                  <c:v>1.0070279525139688E-19</c:v>
                </c:pt>
                <c:pt idx="71">
                  <c:v>9.7714283268220764E-22</c:v>
                </c:pt>
                <c:pt idx="72">
                  <c:v>7.5626740391124619E-24</c:v>
                </c:pt>
                <c:pt idx="73">
                  <c:v>4.6686736787826242E-26</c:v>
                </c:pt>
                <c:pt idx="74">
                  <c:v>2.2988596795844101E-28</c:v>
                </c:pt>
                <c:pt idx="75">
                  <c:v>9.0288453179570704E-31</c:v>
                </c:pt>
                <c:pt idx="76">
                  <c:v>2.828477761498691E-33</c:v>
                </c:pt>
                <c:pt idx="77">
                  <c:v>7.0676352864737607E-36</c:v>
                </c:pt>
                <c:pt idx="78">
                  <c:v>1.4086279400220331E-38</c:v>
                </c:pt>
                <c:pt idx="79">
                  <c:v>2.2393360539139457E-41</c:v>
                </c:pt>
                <c:pt idx="80">
                  <c:v>2.8395077123043964E-44</c:v>
                </c:pt>
                <c:pt idx="81">
                  <c:v>2.871888925268207E-47</c:v>
                </c:pt>
                <c:pt idx="82">
                  <c:v>2.316823935366992E-50</c:v>
                </c:pt>
                <c:pt idx="83">
                  <c:v>1.4907994703689746E-53</c:v>
                </c:pt>
                <c:pt idx="84">
                  <c:v>7.6514938656715843E-57</c:v>
                </c:pt>
                <c:pt idx="85">
                  <c:v>3.1323771348803858E-60</c:v>
                </c:pt>
                <c:pt idx="86">
                  <c:v>1.0228281262231283E-63</c:v>
                </c:pt>
                <c:pt idx="87">
                  <c:v>2.663986900066219E-67</c:v>
                </c:pt>
                <c:pt idx="88">
                  <c:v>5.5342951133161407E-71</c:v>
                </c:pt>
                <c:pt idx="89">
                  <c:v>9.1705070504393473E-75</c:v>
                </c:pt>
                <c:pt idx="90">
                  <c:v>1.2120629899568436E-78</c:v>
                </c:pt>
                <c:pt idx="91">
                  <c:v>1.2777851533259166E-82</c:v>
                </c:pt>
                <c:pt idx="92">
                  <c:v>1.0744625705092026E-86</c:v>
                </c:pt>
                <c:pt idx="93">
                  <c:v>7.2065192456325914E-91</c:v>
                </c:pt>
                <c:pt idx="94">
                  <c:v>3.8553216441320092E-95</c:v>
                </c:pt>
                <c:pt idx="95">
                  <c:v>1.6451158562745188E-99</c:v>
                </c:pt>
                <c:pt idx="96">
                  <c:v>5.5992926432290106E-104</c:v>
                </c:pt>
                <c:pt idx="97">
                  <c:v>1.5200947189723237E-108</c:v>
                </c:pt>
                <c:pt idx="98">
                  <c:v>3.2916142995675668E-113</c:v>
                </c:pt>
                <c:pt idx="99">
                  <c:v>5.6852299672740842E-118</c:v>
                </c:pt>
                <c:pt idx="100">
                  <c:v>7.8322752034097814E-123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0FE-490F-88D0-7ECA1F6121D3}"/>
            </c:ext>
          </c:extLst>
        </c:ser>
        <c:ser>
          <c:idx val="5"/>
          <c:order val="5"/>
          <c:tx>
            <c:strRef>
              <c:f>Sheet1!$R$7</c:f>
              <c:strCache>
                <c:ptCount val="1"/>
                <c:pt idx="0">
                  <c:v>3.17903E-06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Sheet1!$A$7:$A$107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Sheet1!$R$8:$R$107</c:f>
              <c:numCache>
                <c:formatCode>General</c:formatCode>
                <c:ptCount val="100"/>
                <c:pt idx="0">
                  <c:v>4.2912418712499616E-6</c:v>
                </c:pt>
                <c:pt idx="1">
                  <c:v>5.7925706353457043E-6</c:v>
                </c:pt>
                <c:pt idx="2">
                  <c:v>7.8191524906275005E-6</c:v>
                </c:pt>
                <c:pt idx="3">
                  <c:v>1.0554751857253398E-5</c:v>
                </c:pt>
                <c:pt idx="4">
                  <c:v>1.4247424756292663E-5</c:v>
                </c:pt>
                <c:pt idx="5">
                  <c:v>1.9232011792558017E-5</c:v>
                </c:pt>
                <c:pt idx="6">
                  <c:v>2.5960500505590063E-5</c:v>
                </c:pt>
                <c:pt idx="7">
                  <c:v>3.5043010256551925E-5</c:v>
                </c:pt>
                <c:pt idx="8">
                  <c:v>4.730311603878295E-5</c:v>
                </c:pt>
                <c:pt idx="9">
                  <c:v>6.385252781074079E-5</c:v>
                </c:pt>
                <c:pt idx="10">
                  <c:v>8.619189705132019E-5</c:v>
                </c:pt>
                <c:pt idx="11">
                  <c:v>1.1634689137640879E-4</c:v>
                </c:pt>
                <c:pt idx="12">
                  <c:v>1.5705187605853348E-4</c:v>
                </c:pt>
                <c:pt idx="13">
                  <c:v>2.1199785814394638E-4</c:v>
                </c:pt>
                <c:pt idx="14">
                  <c:v>2.8616717600284564E-4</c:v>
                </c:pt>
                <c:pt idx="15">
                  <c:v>3.8628528296659302E-4</c:v>
                </c:pt>
                <c:pt idx="16">
                  <c:v>5.2143059144944468E-4</c:v>
                </c:pt>
                <c:pt idx="17">
                  <c:v>7.038576764075978E-4</c:v>
                </c:pt>
                <c:pt idx="18">
                  <c:v>9.5010848377877698E-4</c:v>
                </c:pt>
                <c:pt idx="19">
                  <c:v>1.2825123049814628E-3</c:v>
                </c:pt>
                <c:pt idx="20">
                  <c:v>1.7312105307038268E-3</c:v>
                </c:pt>
                <c:pt idx="21">
                  <c:v>2.3368897826388886E-3</c:v>
                </c:pt>
                <c:pt idx="22">
                  <c:v>3.1544712554294778E-3</c:v>
                </c:pt>
                <c:pt idx="23">
                  <c:v>4.2580908073868154E-3</c:v>
                </c:pt>
                <c:pt idx="24">
                  <c:v>5.7478213798095009E-3</c:v>
                </c:pt>
                <c:pt idx="25">
                  <c:v>7.7587473139095076E-3</c:v>
                </c:pt>
                <c:pt idx="26">
                  <c:v>1.0473213397437403E-2</c:v>
                </c:pt>
                <c:pt idx="27">
                  <c:v>1.4137359348153885E-2</c:v>
                </c:pt>
                <c:pt idx="28">
                  <c:v>1.9083439031972477E-2</c:v>
                </c:pt>
                <c:pt idx="29">
                  <c:v>2.5759948256147691E-2</c:v>
                </c:pt>
                <c:pt idx="30">
                  <c:v>3.4772293036263092E-2</c:v>
                </c:pt>
                <c:pt idx="31">
                  <c:v>4.69376860146134E-2</c:v>
                </c:pt>
                <c:pt idx="32">
                  <c:v>6.3359248874062926E-2</c:v>
                </c:pt>
                <c:pt idx="33">
                  <c:v>8.5526040134053793E-2</c:v>
                </c:pt>
                <c:pt idx="34">
                  <c:v>0.11544807855205122</c:v>
                </c:pt>
                <c:pt idx="35">
                  <c:v>0.15583860565121271</c:v>
                </c:pt>
                <c:pt idx="36">
                  <c:v>0.21036011439865285</c:v>
                </c:pt>
                <c:pt idx="37">
                  <c:v>0.28395645318371721</c:v>
                </c:pt>
                <c:pt idx="38">
                  <c:v>0.38330111929808353</c:v>
                </c:pt>
                <c:pt idx="39">
                  <c:v>0.51740239183825831</c:v>
                </c:pt>
                <c:pt idx="40">
                  <c:v>0.69842017568376347</c:v>
                </c:pt>
                <c:pt idx="41">
                  <c:v>0.94276862553550744</c:v>
                </c:pt>
                <c:pt idx="42">
                  <c:v>1.2726045326853892</c:v>
                </c:pt>
                <c:pt idx="43">
                  <c:v>1.7178364370065164</c:v>
                </c:pt>
                <c:pt idx="44">
                  <c:v>2.3188366444682256</c:v>
                </c:pt>
                <c:pt idx="45">
                  <c:v>3.130102067865419</c:v>
                </c:pt>
                <c:pt idx="46">
                  <c:v>4.2251958449199973</c:v>
                </c:pt>
                <c:pt idx="47">
                  <c:v>5.7034178249987901</c:v>
                </c:pt>
                <c:pt idx="48">
                  <c:v>7.6988087843605877</c:v>
                </c:pt>
                <c:pt idx="49">
                  <c:v>10.392304845412626</c:v>
                </c:pt>
                <c:pt idx="50">
                  <c:v>7.6988087843615087</c:v>
                </c:pt>
                <c:pt idx="51">
                  <c:v>5.703417824999474</c:v>
                </c:pt>
                <c:pt idx="52">
                  <c:v>4.2251958449205036</c:v>
                </c:pt>
                <c:pt idx="53">
                  <c:v>3.1301020678657951</c:v>
                </c:pt>
                <c:pt idx="54">
                  <c:v>2.318836644468504</c:v>
                </c:pt>
                <c:pt idx="55">
                  <c:v>1.7178364370067225</c:v>
                </c:pt>
                <c:pt idx="56">
                  <c:v>1.272604532685542</c:v>
                </c:pt>
                <c:pt idx="57">
                  <c:v>0.94276862553559238</c:v>
                </c:pt>
                <c:pt idx="58">
                  <c:v>0.69842017568382608</c:v>
                </c:pt>
                <c:pt idx="59">
                  <c:v>0.51740239183830494</c:v>
                </c:pt>
                <c:pt idx="60">
                  <c:v>0.38330111929811794</c:v>
                </c:pt>
                <c:pt idx="61">
                  <c:v>0.28395645318374263</c:v>
                </c:pt>
                <c:pt idx="62">
                  <c:v>0.21036011439867178</c:v>
                </c:pt>
                <c:pt idx="63">
                  <c:v>0.15583860565122667</c:v>
                </c:pt>
                <c:pt idx="64">
                  <c:v>0.11544807855206167</c:v>
                </c:pt>
                <c:pt idx="65">
                  <c:v>8.5526040134061454E-2</c:v>
                </c:pt>
                <c:pt idx="66">
                  <c:v>6.3359248874068616E-2</c:v>
                </c:pt>
                <c:pt idx="67">
                  <c:v>4.6937686014617654E-2</c:v>
                </c:pt>
                <c:pt idx="68">
                  <c:v>3.4772293036266208E-2</c:v>
                </c:pt>
                <c:pt idx="69">
                  <c:v>2.5759948256150026E-2</c:v>
                </c:pt>
                <c:pt idx="70">
                  <c:v>1.9083439031974746E-2</c:v>
                </c:pt>
                <c:pt idx="71">
                  <c:v>1.4137359348155579E-2</c:v>
                </c:pt>
                <c:pt idx="72">
                  <c:v>1.0473213397438669E-2</c:v>
                </c:pt>
                <c:pt idx="73">
                  <c:v>7.7587473139104383E-3</c:v>
                </c:pt>
                <c:pt idx="74">
                  <c:v>5.7478213798101956E-3</c:v>
                </c:pt>
                <c:pt idx="75">
                  <c:v>4.2580908073873219E-3</c:v>
                </c:pt>
                <c:pt idx="76">
                  <c:v>3.1544712554298585E-3</c:v>
                </c:pt>
                <c:pt idx="77">
                  <c:v>2.3368897826391713E-3</c:v>
                </c:pt>
                <c:pt idx="78">
                  <c:v>1.731210530704036E-3</c:v>
                </c:pt>
                <c:pt idx="79">
                  <c:v>1.2825123049816176E-3</c:v>
                </c:pt>
                <c:pt idx="80">
                  <c:v>9.5010848377888996E-4</c:v>
                </c:pt>
                <c:pt idx="81">
                  <c:v>7.0385767640768291E-4</c:v>
                </c:pt>
                <c:pt idx="82">
                  <c:v>5.2143059144950756E-4</c:v>
                </c:pt>
                <c:pt idx="83">
                  <c:v>3.8628528296663975E-4</c:v>
                </c:pt>
                <c:pt idx="84">
                  <c:v>2.8616717600288022E-4</c:v>
                </c:pt>
                <c:pt idx="85">
                  <c:v>2.1199785814396557E-4</c:v>
                </c:pt>
                <c:pt idx="86">
                  <c:v>1.5705187605854798E-4</c:v>
                </c:pt>
                <c:pt idx="87">
                  <c:v>1.1634689137641913E-4</c:v>
                </c:pt>
                <c:pt idx="88">
                  <c:v>8.6191897051327848E-5</c:v>
                </c:pt>
                <c:pt idx="89">
                  <c:v>6.3852527810746577E-5</c:v>
                </c:pt>
                <c:pt idx="90">
                  <c:v>4.730311603878707E-5</c:v>
                </c:pt>
                <c:pt idx="91">
                  <c:v>3.5043010256555164E-5</c:v>
                </c:pt>
                <c:pt idx="92">
                  <c:v>2.5960500505592367E-5</c:v>
                </c:pt>
                <c:pt idx="93">
                  <c:v>1.9232011792559762E-5</c:v>
                </c:pt>
                <c:pt idx="94">
                  <c:v>1.4247424756293952E-5</c:v>
                </c:pt>
                <c:pt idx="95">
                  <c:v>1.0554751857254318E-5</c:v>
                </c:pt>
                <c:pt idx="96">
                  <c:v>7.8191524906282222E-6</c:v>
                </c:pt>
                <c:pt idx="97">
                  <c:v>5.7925706353462176E-6</c:v>
                </c:pt>
                <c:pt idx="98">
                  <c:v>4.2912418712504723E-6</c:v>
                </c:pt>
                <c:pt idx="99">
                  <c:v>3.1790301675746693E-6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0FE-490F-88D0-7ECA1F612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013952"/>
        <c:axId val="359328384"/>
      </c:scatterChart>
      <c:valAx>
        <c:axId val="61101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328384"/>
        <c:crosses val="autoZero"/>
        <c:crossBetween val="midCat"/>
      </c:valAx>
      <c:valAx>
        <c:axId val="35932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01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Sheet2!$A$1:$A$42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</c:numCache>
            </c:numRef>
          </c:xVal>
          <c:yVal>
            <c:numRef>
              <c:f>Sheet2!$B$1:$B$42</c:f>
              <c:numCache>
                <c:formatCode>General</c:formatCode>
                <c:ptCount val="42"/>
                <c:pt idx="0">
                  <c:v>2</c:v>
                </c:pt>
                <c:pt idx="1">
                  <c:v>1.809674836071919</c:v>
                </c:pt>
                <c:pt idx="2">
                  <c:v>1.6374615061559636</c:v>
                </c:pt>
                <c:pt idx="3">
                  <c:v>1.4816364413634358</c:v>
                </c:pt>
                <c:pt idx="4">
                  <c:v>1.3406400920712787</c:v>
                </c:pt>
                <c:pt idx="5">
                  <c:v>1.2130613194252668</c:v>
                </c:pt>
                <c:pt idx="6">
                  <c:v>1.097623272188053</c:v>
                </c:pt>
                <c:pt idx="7">
                  <c:v>0.99317060758281905</c:v>
                </c:pt>
                <c:pt idx="8">
                  <c:v>0.89865792823444313</c:v>
                </c:pt>
                <c:pt idx="9">
                  <c:v>0.81313931948119822</c:v>
                </c:pt>
                <c:pt idx="10">
                  <c:v>0.73575888234288467</c:v>
                </c:pt>
                <c:pt idx="11">
                  <c:v>0.6657421673961591</c:v>
                </c:pt>
                <c:pt idx="12">
                  <c:v>0.60238842382440427</c:v>
                </c:pt>
                <c:pt idx="13">
                  <c:v>0.54506358606802519</c:v>
                </c:pt>
                <c:pt idx="14">
                  <c:v>0.49319392788321298</c:v>
                </c:pt>
                <c:pt idx="15">
                  <c:v>0.44626032029685964</c:v>
                </c:pt>
                <c:pt idx="16">
                  <c:v>0.40379303598931077</c:v>
                </c:pt>
                <c:pt idx="17">
                  <c:v>0.36536704810546933</c:v>
                </c:pt>
                <c:pt idx="18">
                  <c:v>0.33059777644317306</c:v>
                </c:pt>
                <c:pt idx="19">
                  <c:v>0.29913723844527013</c:v>
                </c:pt>
                <c:pt idx="20">
                  <c:v>0.2706705664732254</c:v>
                </c:pt>
                <c:pt idx="21">
                  <c:v>0.24491285650596381</c:v>
                </c:pt>
                <c:pt idx="22">
                  <c:v>0.22160631672466774</c:v>
                </c:pt>
                <c:pt idx="23">
                  <c:v>0.2005176874456075</c:v>
                </c:pt>
                <c:pt idx="24">
                  <c:v>0.18143590657882502</c:v>
                </c:pt>
                <c:pt idx="25">
                  <c:v>0.1641699972477976</c:v>
                </c:pt>
                <c:pt idx="26">
                  <c:v>0.14854715642866775</c:v>
                </c:pt>
                <c:pt idx="27">
                  <c:v>0.13441102547949951</c:v>
                </c:pt>
                <c:pt idx="28">
                  <c:v>0.12162012525043595</c:v>
                </c:pt>
                <c:pt idx="29">
                  <c:v>0.11004644011281446</c:v>
                </c:pt>
                <c:pt idx="30">
                  <c:v>9.9574136735727889E-2</c:v>
                </c:pt>
                <c:pt idx="31">
                  <c:v>9.0098404787115602E-2</c:v>
                </c:pt>
                <c:pt idx="32">
                  <c:v>8.1524407956732423E-2</c:v>
                </c:pt>
                <c:pt idx="33">
                  <c:v>7.376633480248003E-2</c:v>
                </c:pt>
                <c:pt idx="34">
                  <c:v>6.6746539920652159E-2</c:v>
                </c:pt>
                <c:pt idx="35">
                  <c:v>6.0394766844637002E-2</c:v>
                </c:pt>
                <c:pt idx="36">
                  <c:v>5.4647444894585118E-2</c:v>
                </c:pt>
                <c:pt idx="37">
                  <c:v>4.9447052940678776E-2</c:v>
                </c:pt>
                <c:pt idx="38">
                  <c:v>4.4741543712331203E-2</c:v>
                </c:pt>
                <c:pt idx="39">
                  <c:v>4.0483822891608783E-2</c:v>
                </c:pt>
                <c:pt idx="40">
                  <c:v>3.6631277777468357E-2</c:v>
                </c:pt>
                <c:pt idx="41">
                  <c:v>3.3145350803522509E-2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5-4B6C-977E-67F07251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Sheet2!$A$1:$A$284</c:f>
              <c:numCache>
                <c:formatCode>General</c:formatCode>
                <c:ptCount val="28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5.4999999999999902</c:v>
                </c:pt>
                <c:pt idx="56">
                  <c:v>5.5999999999999899</c:v>
                </c:pt>
                <c:pt idx="57">
                  <c:v>5.6999999999999904</c:v>
                </c:pt>
                <c:pt idx="58">
                  <c:v>5.7999999999999901</c:v>
                </c:pt>
                <c:pt idx="59">
                  <c:v>5.8999999999999897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6.1999999999999904</c:v>
                </c:pt>
                <c:pt idx="63">
                  <c:v>6.2999999999999901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8.2999999999999794</c:v>
                </c:pt>
                <c:pt idx="84">
                  <c:v>8.3999999999999808</c:v>
                </c:pt>
                <c:pt idx="85">
                  <c:v>8.4999999999999805</c:v>
                </c:pt>
                <c:pt idx="86">
                  <c:v>8.5999999999999801</c:v>
                </c:pt>
                <c:pt idx="87">
                  <c:v>8.6999999999999797</c:v>
                </c:pt>
                <c:pt idx="88">
                  <c:v>8.7999999999999794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18.099999999999898</c:v>
                </c:pt>
                <c:pt idx="182">
                  <c:v>18.1999999999999</c:v>
                </c:pt>
                <c:pt idx="183">
                  <c:v>18.299999999999901</c:v>
                </c:pt>
                <c:pt idx="184">
                  <c:v>18.399999999999899</c:v>
                </c:pt>
                <c:pt idx="185">
                  <c:v>18.499999999999901</c:v>
                </c:pt>
                <c:pt idx="186">
                  <c:v>18.599999999999898</c:v>
                </c:pt>
                <c:pt idx="187">
                  <c:v>18.6999999999999</c:v>
                </c:pt>
                <c:pt idx="188">
                  <c:v>18.799999999999901</c:v>
                </c:pt>
                <c:pt idx="189">
                  <c:v>18.899999999999899</c:v>
                </c:pt>
                <c:pt idx="190">
                  <c:v>18.999999999999901</c:v>
                </c:pt>
                <c:pt idx="191">
                  <c:v>19.099999999999898</c:v>
                </c:pt>
                <c:pt idx="192">
                  <c:v>19.1999999999999</c:v>
                </c:pt>
                <c:pt idx="193">
                  <c:v>19.299999999999901</c:v>
                </c:pt>
                <c:pt idx="194">
                  <c:v>19.399999999999899</c:v>
                </c:pt>
                <c:pt idx="195">
                  <c:v>19.499999999999901</c:v>
                </c:pt>
                <c:pt idx="196">
                  <c:v>19.599999999999898</c:v>
                </c:pt>
                <c:pt idx="197">
                  <c:v>19.6999999999999</c:v>
                </c:pt>
                <c:pt idx="198">
                  <c:v>19.799999999999901</c:v>
                </c:pt>
                <c:pt idx="199">
                  <c:v>19.899999999999899</c:v>
                </c:pt>
                <c:pt idx="200">
                  <c:v>19.999999999999901</c:v>
                </c:pt>
                <c:pt idx="201">
                  <c:v>20.099999999999898</c:v>
                </c:pt>
                <c:pt idx="202">
                  <c:v>20.1999999999999</c:v>
                </c:pt>
                <c:pt idx="203">
                  <c:v>20.299999999999901</c:v>
                </c:pt>
                <c:pt idx="204">
                  <c:v>20.399999999999899</c:v>
                </c:pt>
                <c:pt idx="205">
                  <c:v>20.499999999999901</c:v>
                </c:pt>
                <c:pt idx="206">
                  <c:v>20.599999999999898</c:v>
                </c:pt>
                <c:pt idx="207">
                  <c:v>20.6999999999999</c:v>
                </c:pt>
                <c:pt idx="208">
                  <c:v>20.799999999999901</c:v>
                </c:pt>
                <c:pt idx="209">
                  <c:v>20.899999999999899</c:v>
                </c:pt>
                <c:pt idx="210">
                  <c:v>20.999999999999901</c:v>
                </c:pt>
                <c:pt idx="211">
                  <c:v>21.099999999999898</c:v>
                </c:pt>
                <c:pt idx="212">
                  <c:v>21.1999999999999</c:v>
                </c:pt>
                <c:pt idx="213">
                  <c:v>21.299999999999901</c:v>
                </c:pt>
                <c:pt idx="214">
                  <c:v>21.399999999999899</c:v>
                </c:pt>
                <c:pt idx="215">
                  <c:v>21.499999999999901</c:v>
                </c:pt>
                <c:pt idx="216">
                  <c:v>21.599999999999898</c:v>
                </c:pt>
                <c:pt idx="217">
                  <c:v>21.6999999999999</c:v>
                </c:pt>
                <c:pt idx="218">
                  <c:v>21.799999999999901</c:v>
                </c:pt>
                <c:pt idx="219">
                  <c:v>21.899999999999899</c:v>
                </c:pt>
                <c:pt idx="220">
                  <c:v>21.999999999999901</c:v>
                </c:pt>
                <c:pt idx="221">
                  <c:v>22.099999999999898</c:v>
                </c:pt>
                <c:pt idx="222">
                  <c:v>22.1999999999999</c:v>
                </c:pt>
                <c:pt idx="223">
                  <c:v>22.299999999999901</c:v>
                </c:pt>
                <c:pt idx="224">
                  <c:v>22.399999999999899</c:v>
                </c:pt>
                <c:pt idx="225">
                  <c:v>22.499999999999901</c:v>
                </c:pt>
                <c:pt idx="226">
                  <c:v>22.599999999999898</c:v>
                </c:pt>
                <c:pt idx="227">
                  <c:v>22.6999999999999</c:v>
                </c:pt>
                <c:pt idx="228">
                  <c:v>22.799999999999901</c:v>
                </c:pt>
                <c:pt idx="229">
                  <c:v>22.899999999999899</c:v>
                </c:pt>
                <c:pt idx="230">
                  <c:v>22.999999999999901</c:v>
                </c:pt>
                <c:pt idx="231">
                  <c:v>23.099999999999898</c:v>
                </c:pt>
                <c:pt idx="232">
                  <c:v>23.1999999999999</c:v>
                </c:pt>
                <c:pt idx="233">
                  <c:v>23.299999999999901</c:v>
                </c:pt>
                <c:pt idx="234">
                  <c:v>23.399999999999899</c:v>
                </c:pt>
                <c:pt idx="235">
                  <c:v>23.499999999999901</c:v>
                </c:pt>
                <c:pt idx="236">
                  <c:v>23.599999999999898</c:v>
                </c:pt>
                <c:pt idx="237">
                  <c:v>23.6999999999999</c:v>
                </c:pt>
                <c:pt idx="238">
                  <c:v>23.799999999999901</c:v>
                </c:pt>
                <c:pt idx="239">
                  <c:v>23.899999999999899</c:v>
                </c:pt>
                <c:pt idx="240">
                  <c:v>23.999999999999901</c:v>
                </c:pt>
                <c:pt idx="241">
                  <c:v>24.099999999999898</c:v>
                </c:pt>
                <c:pt idx="242">
                  <c:v>24.1999999999999</c:v>
                </c:pt>
                <c:pt idx="243">
                  <c:v>24.299999999999901</c:v>
                </c:pt>
                <c:pt idx="244">
                  <c:v>24.399999999999899</c:v>
                </c:pt>
                <c:pt idx="245">
                  <c:v>24.499999999999901</c:v>
                </c:pt>
                <c:pt idx="246">
                  <c:v>24.599999999999898</c:v>
                </c:pt>
                <c:pt idx="247">
                  <c:v>24.6999999999999</c:v>
                </c:pt>
                <c:pt idx="248">
                  <c:v>24.799999999999901</c:v>
                </c:pt>
                <c:pt idx="249">
                  <c:v>24.899999999999899</c:v>
                </c:pt>
                <c:pt idx="250">
                  <c:v>24.999999999999901</c:v>
                </c:pt>
                <c:pt idx="251">
                  <c:v>25.099999999999898</c:v>
                </c:pt>
                <c:pt idx="252">
                  <c:v>25.1999999999999</c:v>
                </c:pt>
                <c:pt idx="253">
                  <c:v>25.299999999999901</c:v>
                </c:pt>
                <c:pt idx="254">
                  <c:v>25.399999999999899</c:v>
                </c:pt>
                <c:pt idx="255">
                  <c:v>25.499999999999901</c:v>
                </c:pt>
                <c:pt idx="256">
                  <c:v>25.599999999999898</c:v>
                </c:pt>
                <c:pt idx="257">
                  <c:v>25.6999999999999</c:v>
                </c:pt>
                <c:pt idx="258">
                  <c:v>25.799999999999901</c:v>
                </c:pt>
                <c:pt idx="259">
                  <c:v>25.899999999999899</c:v>
                </c:pt>
                <c:pt idx="260">
                  <c:v>25.999999999999901</c:v>
                </c:pt>
                <c:pt idx="261">
                  <c:v>26.099999999999898</c:v>
                </c:pt>
                <c:pt idx="262">
                  <c:v>26.1999999999999</c:v>
                </c:pt>
                <c:pt idx="263">
                  <c:v>26.299999999999901</c:v>
                </c:pt>
                <c:pt idx="264">
                  <c:v>26.399999999999899</c:v>
                </c:pt>
                <c:pt idx="265">
                  <c:v>26.499999999999901</c:v>
                </c:pt>
                <c:pt idx="266">
                  <c:v>26.599999999999898</c:v>
                </c:pt>
                <c:pt idx="267">
                  <c:v>26.6999999999999</c:v>
                </c:pt>
                <c:pt idx="268">
                  <c:v>26.799999999999901</c:v>
                </c:pt>
                <c:pt idx="269">
                  <c:v>26.899999999999899</c:v>
                </c:pt>
                <c:pt idx="270">
                  <c:v>26.999999999999901</c:v>
                </c:pt>
                <c:pt idx="271">
                  <c:v>27.099999999999898</c:v>
                </c:pt>
                <c:pt idx="272">
                  <c:v>27.1999999999999</c:v>
                </c:pt>
                <c:pt idx="273">
                  <c:v>27.299999999999901</c:v>
                </c:pt>
                <c:pt idx="274">
                  <c:v>27.399999999999899</c:v>
                </c:pt>
                <c:pt idx="275">
                  <c:v>27.499999999999901</c:v>
                </c:pt>
                <c:pt idx="276">
                  <c:v>27.599999999999898</c:v>
                </c:pt>
                <c:pt idx="277">
                  <c:v>27.6999999999999</c:v>
                </c:pt>
                <c:pt idx="278">
                  <c:v>27.799999999999901</c:v>
                </c:pt>
                <c:pt idx="279">
                  <c:v>27.899999999999899</c:v>
                </c:pt>
                <c:pt idx="280">
                  <c:v>27.999999999999901</c:v>
                </c:pt>
                <c:pt idx="281">
                  <c:v>28.099999999999898</c:v>
                </c:pt>
                <c:pt idx="282">
                  <c:v>28.1999999999999</c:v>
                </c:pt>
                <c:pt idx="283">
                  <c:v>28.299999999999901</c:v>
                </c:pt>
              </c:numCache>
            </c:numRef>
          </c:xVal>
          <c:yVal>
            <c:numRef>
              <c:f>Sheet2!$C$1:$C$284</c:f>
              <c:numCache>
                <c:formatCode>General</c:formatCode>
                <c:ptCount val="284"/>
                <c:pt idx="0">
                  <c:v>0.70710678118654757</c:v>
                </c:pt>
                <c:pt idx="1">
                  <c:v>0.63898973770220036</c:v>
                </c:pt>
                <c:pt idx="2">
                  <c:v>0.57583500674809851</c:v>
                </c:pt>
                <c:pt idx="3">
                  <c:v>0.51732057973878309</c:v>
                </c:pt>
                <c:pt idx="4">
                  <c:v>0.46314405397392788</c:v>
                </c:pt>
                <c:pt idx="5">
                  <c:v>0.41302148617738788</c:v>
                </c:pt>
                <c:pt idx="6">
                  <c:v>0.36668631122941647</c:v>
                </c:pt>
                <c:pt idx="7">
                  <c:v>0.32388832245997273</c:v>
                </c:pt>
                <c:pt idx="8">
                  <c:v>0.28439271007024758</c:v>
                </c:pt>
                <c:pt idx="9">
                  <c:v>0.24797915443796006</c:v>
                </c:pt>
                <c:pt idx="10">
                  <c:v>0.21444097124017672</c:v>
                </c:pt>
                <c:pt idx="11">
                  <c:v>0.18358430549595067</c:v>
                </c:pt>
                <c:pt idx="12">
                  <c:v>0.155227371790468</c:v>
                </c:pt>
                <c:pt idx="13">
                  <c:v>0.12919973809312957</c:v>
                </c:pt>
                <c:pt idx="14">
                  <c:v>0.10534165072454627</c:v>
                </c:pt>
                <c:pt idx="15">
                  <c:v>8.3503398162221118E-2</c:v>
                </c:pt>
                <c:pt idx="16">
                  <c:v>6.3544711502162843E-2</c:v>
                </c:pt>
                <c:pt idx="17">
                  <c:v>4.5334199514199723E-2</c:v>
                </c:pt>
                <c:pt idx="18">
                  <c:v>2.8748816342728484E-2</c:v>
                </c:pt>
                <c:pt idx="19">
                  <c:v>1.3673360012385186E-2</c:v>
                </c:pt>
                <c:pt idx="20">
                  <c:v>0</c:v>
                </c:pt>
                <c:pt idx="21">
                  <c:v>-1.2372167769482747E-2</c:v>
                </c:pt>
                <c:pt idx="22">
                  <c:v>-2.3537540054382713E-2</c:v>
                </c:pt>
                <c:pt idx="23">
                  <c:v>-3.3584401020139411E-2</c:v>
                </c:pt>
                <c:pt idx="24">
                  <c:v>-4.2595293939451218E-2</c:v>
                </c:pt>
                <c:pt idx="25">
                  <c:v>-5.0647371175578673E-2</c:v>
                </c:pt>
                <c:pt idx="26">
                  <c:v>-5.7812723682983715E-2</c:v>
                </c:pt>
                <c:pt idx="27">
                  <c:v>-6.4158691190747297E-2</c:v>
                </c:pt>
                <c:pt idx="28">
                  <c:v>-6.9748154169249788E-2</c:v>
                </c:pt>
                <c:pt idx="29">
                  <c:v>-7.4639808619202871E-2</c:v>
                </c:pt>
                <c:pt idx="30">
                  <c:v>-7.888842466409754E-2</c:v>
                </c:pt>
                <c:pt idx="31">
                  <c:v>-8.2545089872297181E-2</c:v>
                </c:pt>
                <c:pt idx="32">
                  <c:v>-8.565743818318361E-2</c:v>
                </c:pt>
                <c:pt idx="33">
                  <c:v>-8.8269865262794817E-2</c:v>
                </c:pt>
                <c:pt idx="34">
                  <c:v>-9.0423731068121113E-2</c:v>
                </c:pt>
                <c:pt idx="35">
                  <c:v>-9.2157550355503062E-2</c:v>
                </c:pt>
                <c:pt idx="36">
                  <c:v>-9.3507171827264784E-2</c:v>
                </c:pt>
                <c:pt idx="37">
                  <c:v>-9.4505946571684624E-2</c:v>
                </c:pt>
                <c:pt idx="38">
                  <c:v>-9.5184886414530462E-2</c:v>
                </c:pt>
                <c:pt idx="39">
                  <c:v>-9.5572812765551865E-2</c:v>
                </c:pt>
                <c:pt idx="40">
                  <c:v>-9.5696496510410942E-2</c:v>
                </c:pt>
                <c:pt idx="41">
                  <c:v>-9.5580789467449412E-2</c:v>
                </c:pt>
                <c:pt idx="42">
                  <c:v>-9.5248747899324193E-2</c:v>
                </c:pt>
                <c:pt idx="43">
                  <c:v>-9.4721748541809897E-2</c:v>
                </c:pt>
                <c:pt idx="44">
                  <c:v>-9.4019597585871847E-2</c:v>
                </c:pt>
                <c:pt idx="45">
                  <c:v>-9.3160633024372483E-2</c:v>
                </c:pt>
                <c:pt idx="46">
                  <c:v>-9.216182075141191E-2</c:v>
                </c:pt>
                <c:pt idx="47">
                  <c:v>-9.1038844780238257E-2</c:v>
                </c:pt>
                <c:pt idx="48">
                  <c:v>-8.9806191924831275E-2</c:v>
                </c:pt>
                <c:pt idx="49">
                  <c:v>-8.8477231270588555E-2</c:v>
                </c:pt>
                <c:pt idx="50">
                  <c:v>-8.7064288740970899E-2</c:v>
                </c:pt>
                <c:pt idx="51">
                  <c:v>-8.5578717049425684E-2</c:v>
                </c:pt>
                <c:pt idx="52">
                  <c:v>-8.4030961309351865E-2</c:v>
                </c:pt>
                <c:pt idx="53">
                  <c:v>-8.2430620559240803E-2</c:v>
                </c:pt>
                <c:pt idx="54">
                  <c:v>-8.0786505445373163E-2</c:v>
                </c:pt>
                <c:pt idx="55">
                  <c:v>-7.9106692290527039E-2</c:v>
                </c:pt>
                <c:pt idx="56">
                  <c:v>-7.7398573764006634E-2</c:v>
                </c:pt>
                <c:pt idx="57">
                  <c:v>-7.5668906355898541E-2</c:v>
                </c:pt>
                <c:pt idx="58">
                  <c:v>-7.3923854846750056E-2</c:v>
                </c:pt>
                <c:pt idx="59">
                  <c:v>-7.2169033952820719E-2</c:v>
                </c:pt>
                <c:pt idx="60">
                  <c:v>-7.0409547316629878E-2</c:v>
                </c:pt>
                <c:pt idx="61">
                  <c:v>-6.8650024002687479E-2</c:v>
                </c:pt>
                <c:pt idx="62">
                  <c:v>-6.6894652649013106E-2</c:v>
                </c:pt>
                <c:pt idx="63">
                  <c:v>-6.514721341629344E-2</c:v>
                </c:pt>
                <c:pt idx="64">
                  <c:v>-6.341110786826662E-2</c:v>
                </c:pt>
                <c:pt idx="65">
                  <c:v>-6.1689386909131304E-2</c:v>
                </c:pt>
                <c:pt idx="66">
                  <c:v>-5.9984776896427644E-2</c:v>
                </c:pt>
                <c:pt idx="67">
                  <c:v>-5.829970404090546E-2</c:v>
                </c:pt>
                <c:pt idx="68">
                  <c:v>-5.6636317198358266E-2</c:v>
                </c:pt>
                <c:pt idx="69">
                  <c:v>-5.4996509152234946E-2</c:v>
                </c:pt>
                <c:pt idx="70">
                  <c:v>-5.3381936480029271E-2</c:v>
                </c:pt>
                <c:pt idx="71">
                  <c:v>-5.1794038090964563E-2</c:v>
                </c:pt>
                <c:pt idx="72">
                  <c:v>-5.0234052517323262E-2</c:v>
                </c:pt>
                <c:pt idx="73">
                  <c:v>-4.8703034036899594E-2</c:v>
                </c:pt>
                <c:pt idx="74">
                  <c:v>-4.7201867699459804E-2</c:v>
                </c:pt>
                <c:pt idx="75">
                  <c:v>-4.5731283325766273E-2</c:v>
                </c:pt>
                <c:pt idx="76">
                  <c:v>-4.4291868543641359E-2</c:v>
                </c:pt>
                <c:pt idx="77">
                  <c:v>-4.28840809217012E-2</c:v>
                </c:pt>
                <c:pt idx="78">
                  <c:v>-4.1508259257767181E-2</c:v>
                </c:pt>
                <c:pt idx="79">
                  <c:v>-4.0164634075547351E-2</c:v>
                </c:pt>
                <c:pt idx="80">
                  <c:v>-3.8853337379964069E-2</c:v>
                </c:pt>
                <c:pt idx="81">
                  <c:v>-3.757441171847322E-2</c:v>
                </c:pt>
                <c:pt idx="82">
                  <c:v>-3.6327818592865616E-2</c:v>
                </c:pt>
                <c:pt idx="83">
                  <c:v>-3.5113446263352513E-2</c:v>
                </c:pt>
                <c:pt idx="84">
                  <c:v>-3.3931116984203723E-2</c:v>
                </c:pt>
                <c:pt idx="85">
                  <c:v>-3.2780593707824747E-2</c:v>
                </c:pt>
                <c:pt idx="86">
                  <c:v>-3.1661586291908725E-2</c:v>
                </c:pt>
                <c:pt idx="87">
                  <c:v>-3.0573757242190098E-2</c:v>
                </c:pt>
                <c:pt idx="88">
                  <c:v>-2.9516727021332626E-2</c:v>
                </c:pt>
                <c:pt idx="89">
                  <c:v>-2.849007895261229E-2</c:v>
                </c:pt>
                <c:pt idx="90">
                  <c:v>-2.7493363745291752E-2</c:v>
                </c:pt>
                <c:pt idx="91">
                  <c:v>-2.6526103666922998E-2</c:v>
                </c:pt>
                <c:pt idx="92">
                  <c:v>-2.5587796386253636E-2</c:v>
                </c:pt>
                <c:pt idx="93">
                  <c:v>-2.4677918508942187E-2</c:v>
                </c:pt>
                <c:pt idx="94">
                  <c:v>-2.3795928826905576E-2</c:v>
                </c:pt>
                <c:pt idx="95">
                  <c:v>-2.2941271300821638E-2</c:v>
                </c:pt>
                <c:pt idx="96">
                  <c:v>-2.2113377794085919E-2</c:v>
                </c:pt>
                <c:pt idx="97">
                  <c:v>-2.1311670575372525E-2</c:v>
                </c:pt>
                <c:pt idx="98">
                  <c:v>-2.0535564605866391E-2</c:v>
                </c:pt>
                <c:pt idx="99">
                  <c:v>-1.9784469626218017E-2</c:v>
                </c:pt>
                <c:pt idx="100">
                  <c:v>-1.9057792057315667E-2</c:v>
                </c:pt>
                <c:pt idx="101">
                  <c:v>-1.8354936728071213E-2</c:v>
                </c:pt>
                <c:pt idx="102">
                  <c:v>-1.7675308442572795E-2</c:v>
                </c:pt>
                <c:pt idx="103">
                  <c:v>-1.7018313398160893E-2</c:v>
                </c:pt>
                <c:pt idx="104">
                  <c:v>-1.6383360465243999E-2</c:v>
                </c:pt>
                <c:pt idx="105">
                  <c:v>-1.5769862338964918E-2</c:v>
                </c:pt>
                <c:pt idx="106">
                  <c:v>-1.5177236572174367E-2</c:v>
                </c:pt>
                <c:pt idx="107">
                  <c:v>-1.4604906498549694E-2</c:v>
                </c:pt>
                <c:pt idx="108">
                  <c:v>-1.405230205411712E-2</c:v>
                </c:pt>
                <c:pt idx="109">
                  <c:v>-1.3518860504891761E-2</c:v>
                </c:pt>
                <c:pt idx="110">
                  <c:v>-1.3004027087838495E-2</c:v>
                </c:pt>
                <c:pt idx="111">
                  <c:v>-1.2507255571878047E-2</c:v>
                </c:pt>
                <c:pt idx="112">
                  <c:v>-1.2028008745212341E-2</c:v>
                </c:pt>
                <c:pt idx="113">
                  <c:v>-1.1565758834821775E-2</c:v>
                </c:pt>
                <c:pt idx="114">
                  <c:v>-1.1119987863591262E-2</c:v>
                </c:pt>
                <c:pt idx="115">
                  <c:v>-1.0690187950150956E-2</c:v>
                </c:pt>
                <c:pt idx="116">
                  <c:v>-1.0275861556170001E-2</c:v>
                </c:pt>
                <c:pt idx="117">
                  <c:v>-9.8765216855154839E-3</c:v>
                </c:pt>
                <c:pt idx="118">
                  <c:v>-9.4916920393835844E-3</c:v>
                </c:pt>
                <c:pt idx="119">
                  <c:v>-9.1209071312237221E-3</c:v>
                </c:pt>
                <c:pt idx="120">
                  <c:v>-8.7637123650084869E-3</c:v>
                </c:pt>
                <c:pt idx="121">
                  <c:v>-8.4196640801513841E-3</c:v>
                </c:pt>
                <c:pt idx="122">
                  <c:v>-8.0883295661393767E-3</c:v>
                </c:pt>
                <c:pt idx="123">
                  <c:v>-7.7692870497274406E-3</c:v>
                </c:pt>
                <c:pt idx="124">
                  <c:v>-7.4621256573367068E-3</c:v>
                </c:pt>
                <c:pt idx="125">
                  <c:v>-7.1664453551052209E-3</c:v>
                </c:pt>
                <c:pt idx="126">
                  <c:v>-6.8818568688606748E-3</c:v>
                </c:pt>
                <c:pt idx="127">
                  <c:v>-6.6079815861160478E-3</c:v>
                </c:pt>
                <c:pt idx="128">
                  <c:v>-6.3444514420320352E-3</c:v>
                </c:pt>
                <c:pt idx="129">
                  <c:v>-6.0909087911433114E-3</c:v>
                </c:pt>
                <c:pt idx="130">
                  <c:v>-5.8470062665083953E-3</c:v>
                </c:pt>
                <c:pt idx="131">
                  <c:v>-5.612406627815059E-3</c:v>
                </c:pt>
                <c:pt idx="132">
                  <c:v>-5.3867825998534895E-3</c:v>
                </c:pt>
                <c:pt idx="133">
                  <c:v>-5.1698167026581017E-3</c:v>
                </c:pt>
                <c:pt idx="134">
                  <c:v>-4.9612010745148276E-3</c:v>
                </c:pt>
                <c:pt idx="135">
                  <c:v>-4.7606372889337934E-3</c:v>
                </c:pt>
                <c:pt idx="136">
                  <c:v>-4.567836166597037E-3</c:v>
                </c:pt>
                <c:pt idx="137">
                  <c:v>-4.3825175832067319E-3</c:v>
                </c:pt>
                <c:pt idx="138">
                  <c:v>-4.2044102740810569E-3</c:v>
                </c:pt>
                <c:pt idx="139">
                  <c:v>-4.0332516362720557E-3</c:v>
                </c:pt>
                <c:pt idx="140">
                  <c:v>-3.8687875289118976E-3</c:v>
                </c:pt>
                <c:pt idx="141">
                  <c:v>-3.7107720724310908E-3</c:v>
                </c:pt>
                <c:pt idx="142">
                  <c:v>-3.5589674472335355E-3</c:v>
                </c:pt>
                <c:pt idx="143">
                  <c:v>-3.413143692358964E-3</c:v>
                </c:pt>
                <c:pt idx="144">
                  <c:v>-3.2730785046128992E-3</c:v>
                </c:pt>
                <c:pt idx="145">
                  <c:v>-3.1385570385973655E-3</c:v>
                </c:pt>
                <c:pt idx="146">
                  <c:v>-3.0093717080323388E-3</c:v>
                </c:pt>
                <c:pt idx="147">
                  <c:v>-2.885321988717637E-3</c:v>
                </c:pt>
                <c:pt idx="148">
                  <c:v>-2.7662142234478179E-3</c:v>
                </c:pt>
                <c:pt idx="149">
                  <c:v>-2.6518614291582698E-3</c:v>
                </c:pt>
                <c:pt idx="150">
                  <c:v>-2.542083106548854E-3</c:v>
                </c:pt>
                <c:pt idx="151">
                  <c:v>-2.4367050524021884E-3</c:v>
                </c:pt>
                <c:pt idx="152">
                  <c:v>-2.3355591747865347E-3</c:v>
                </c:pt>
                <c:pt idx="153">
                  <c:v>-2.2384833113083414E-3</c:v>
                </c:pt>
                <c:pt idx="154">
                  <c:v>-2.145321050556529E-3</c:v>
                </c:pt>
                <c:pt idx="155">
                  <c:v>-2.0559215568594844E-3</c:v>
                </c:pt>
                <c:pt idx="156">
                  <c:v>-1.9701393984563565E-3</c:v>
                </c:pt>
                <c:pt idx="157">
                  <c:v>-1.8878343791664395E-3</c:v>
                </c:pt>
                <c:pt idx="158">
                  <c:v>-1.80887137362414E-3</c:v>
                </c:pt>
                <c:pt idx="159">
                  <c:v>-1.7331201661321353E-3</c:v>
                </c:pt>
                <c:pt idx="160">
                  <c:v>-1.6604552931716796E-3</c:v>
                </c:pt>
                <c:pt idx="161">
                  <c:v>-1.5907558895966664E-3</c:v>
                </c:pt>
                <c:pt idx="162">
                  <c:v>-1.523905538526714E-3</c:v>
                </c:pt>
                <c:pt idx="163">
                  <c:v>-1.4597921249442881E-3</c:v>
                </c:pt>
                <c:pt idx="164">
                  <c:v>-1.3983076929916505E-3</c:v>
                </c:pt>
                <c:pt idx="165">
                  <c:v>-1.3393483069549191E-3</c:v>
                </c:pt>
                <c:pt idx="166">
                  <c:v>-1.2828139159150823E-3</c:v>
                </c:pt>
                <c:pt idx="167">
                  <c:v>-1.2286082220389015E-3</c:v>
                </c:pt>
                <c:pt idx="168">
                  <c:v>-1.1766385524766157E-3</c:v>
                </c:pt>
                <c:pt idx="169">
                  <c:v>-1.1268157348279402E-3</c:v>
                </c:pt>
                <c:pt idx="170">
                  <c:v>-1.0790539761329496E-3</c:v>
                </c:pt>
                <c:pt idx="171">
                  <c:v>-1.0332707453402999E-3</c:v>
                </c:pt>
                <c:pt idx="172">
                  <c:v>-9.8938665920138215E-4</c:v>
                </c:pt>
                <c:pt idx="173">
                  <c:v>-9.4732537153581953E-4</c:v>
                </c:pt>
                <c:pt idx="174">
                  <c:v>-9.0701346581088436E-4</c:v>
                </c:pt>
                <c:pt idx="175">
                  <c:v>-8.6838035097494277E-4</c:v>
                </c:pt>
                <c:pt idx="176">
                  <c:v>-8.3135816048307792E-4</c:v>
                </c:pt>
                <c:pt idx="177">
                  <c:v>-7.958816544512546E-4</c:v>
                </c:pt>
                <c:pt idx="178">
                  <c:v>-7.618881248740517E-4</c:v>
                </c:pt>
                <c:pt idx="179">
                  <c:v>-7.2931730383988484E-4</c:v>
                </c:pt>
                <c:pt idx="180">
                  <c:v>-6.9811127467675547E-4</c:v>
                </c:pt>
                <c:pt idx="181">
                  <c:v>-6.6821438596106105E-4</c:v>
                </c:pt>
                <c:pt idx="182">
                  <c:v>-6.3957316832133977E-4</c:v>
                </c:pt>
                <c:pt idx="183">
                  <c:v>-6.1213625396932213E-4</c:v>
                </c:pt>
                <c:pt idx="184">
                  <c:v>-5.8585429888956394E-4</c:v>
                </c:pt>
                <c:pt idx="185">
                  <c:v>-5.6067990762017174E-4</c:v>
                </c:pt>
                <c:pt idx="186">
                  <c:v>-5.3656756055679938E-4</c:v>
                </c:pt>
                <c:pt idx="187">
                  <c:v>-5.1347354371271523E-4</c:v>
                </c:pt>
                <c:pt idx="188">
                  <c:v>-4.9135588086830892E-4</c:v>
                </c:pt>
                <c:pt idx="189">
                  <c:v>-4.7017426804401885E-4</c:v>
                </c:pt>
                <c:pt idx="190">
                  <c:v>-4.4989001023144708E-4</c:v>
                </c:pt>
                <c:pt idx="191">
                  <c:v>-4.3046596031826295E-4</c:v>
                </c:pt>
                <c:pt idx="192">
                  <c:v>-4.1186646014338232E-4</c:v>
                </c:pt>
                <c:pt idx="193">
                  <c:v>-3.9405728361992476E-4</c:v>
                </c:pt>
                <c:pt idx="194">
                  <c:v>-3.7700558186444343E-4</c:v>
                </c:pt>
                <c:pt idx="195">
                  <c:v>-3.6067983027202559E-4</c:v>
                </c:pt>
                <c:pt idx="196">
                  <c:v>-3.4504977747798113E-4</c:v>
                </c:pt>
                <c:pt idx="197">
                  <c:v>-3.3008639614797065E-4</c:v>
                </c:pt>
                <c:pt idx="198">
                  <c:v>-3.1576183553963869E-4</c:v>
                </c:pt>
                <c:pt idx="199">
                  <c:v>-3.0204937577999505E-4</c:v>
                </c:pt>
                <c:pt idx="200">
                  <c:v>-2.8892338380402682E-4</c:v>
                </c:pt>
                <c:pt idx="201">
                  <c:v>-2.7635927090126307E-4</c:v>
                </c:pt>
                <c:pt idx="202">
                  <c:v>-2.6433345181824217E-4</c:v>
                </c:pt>
                <c:pt idx="203">
                  <c:v>-2.5282330536610827E-4</c:v>
                </c:pt>
                <c:pt idx="204">
                  <c:v>-2.4180713648379228E-4</c:v>
                </c:pt>
                <c:pt idx="205">
                  <c:v>-2.3126413970849996E-4</c:v>
                </c:pt>
                <c:pt idx="206">
                  <c:v>-2.2117436400647514E-4</c:v>
                </c:pt>
                <c:pt idx="207">
                  <c:v>-2.1151867891823468E-4</c:v>
                </c:pt>
                <c:pt idx="208">
                  <c:v>-2.0227874197372293E-4</c:v>
                </c:pt>
                <c:pt idx="209">
                  <c:v>-1.9343696733403347E-4</c:v>
                </c:pt>
                <c:pt idx="210">
                  <c:v>-1.849764956175663E-4</c:v>
                </c:pt>
                <c:pt idx="211">
                  <c:v>-1.7688116486968007E-4</c:v>
                </c:pt>
                <c:pt idx="212">
                  <c:v>-1.6913548263606444E-4</c:v>
                </c:pt>
                <c:pt idx="213">
                  <c:v>-1.6172459910123395E-4</c:v>
                </c:pt>
                <c:pt idx="214">
                  <c:v>-1.5463428125466876E-4</c:v>
                </c:pt>
                <c:pt idx="215">
                  <c:v>-1.4785088804825878E-4</c:v>
                </c:pt>
                <c:pt idx="216">
                  <c:v>-1.4136134650980872E-4</c:v>
                </c:pt>
                <c:pt idx="217">
                  <c:v>-1.3515312877843239E-4</c:v>
                </c:pt>
                <c:pt idx="218">
                  <c:v>-1.2921423002873629E-4</c:v>
                </c:pt>
                <c:pt idx="219">
                  <c:v>-1.235331472517173E-4</c:v>
                </c:pt>
                <c:pt idx="220">
                  <c:v>-1.1809885886131955E-4</c:v>
                </c:pt>
                <c:pt idx="221">
                  <c:v>-1.1290080509658838E-4</c:v>
                </c:pt>
                <c:pt idx="222">
                  <c:v>-1.0792886919032033E-4</c:v>
                </c:pt>
                <c:pt idx="223">
                  <c:v>-1.0317335927606435E-4</c:v>
                </c:pt>
                <c:pt idx="224">
                  <c:v>-9.8624991006242084E-5</c:v>
                </c:pt>
                <c:pt idx="225">
                  <c:v>-9.4274870855060874E-5</c:v>
                </c:pt>
                <c:pt idx="226">
                  <c:v>-9.0114480080769692E-5</c:v>
                </c:pt>
                <c:pt idx="227">
                  <c:v>-8.6135659322656273E-5</c:v>
                </c:pt>
                <c:pt idx="228">
                  <c:v>-8.233059380902324E-5</c:v>
                </c:pt>
                <c:pt idx="229">
                  <c:v>-7.8691799153181207E-5</c:v>
                </c:pt>
                <c:pt idx="230">
                  <c:v>-7.5212107715288618E-5</c:v>
                </c:pt>
                <c:pt idx="231">
                  <c:v>-7.1884655508630725E-5</c:v>
                </c:pt>
                <c:pt idx="232">
                  <c:v>-6.8702869629669417E-5</c:v>
                </c:pt>
                <c:pt idx="233">
                  <c:v>-6.5660456191922242E-5</c:v>
                </c:pt>
                <c:pt idx="234">
                  <c:v>-6.275138874442193E-5</c:v>
                </c:pt>
                <c:pt idx="235">
                  <c:v>-5.9969897156191861E-5</c:v>
                </c:pt>
                <c:pt idx="236">
                  <c:v>-5.7310456948829353E-5</c:v>
                </c:pt>
                <c:pt idx="237">
                  <c:v>-5.476777905992503E-5</c:v>
                </c:pt>
                <c:pt idx="238">
                  <c:v>-5.2336800020669701E-5</c:v>
                </c:pt>
                <c:pt idx="239">
                  <c:v>-5.0012672531594835E-5</c:v>
                </c:pt>
                <c:pt idx="240">
                  <c:v>-4.7790756420976021E-5</c:v>
                </c:pt>
                <c:pt idx="241">
                  <c:v>-4.5666609970991502E-5</c:v>
                </c:pt>
                <c:pt idx="242">
                  <c:v>-4.3635981597268161E-5</c:v>
                </c:pt>
                <c:pt idx="243">
                  <c:v>-4.1694801867979119E-5</c:v>
                </c:pt>
                <c:pt idx="244">
                  <c:v>-3.9839175849161434E-5</c:v>
                </c:pt>
                <c:pt idx="245">
                  <c:v>-3.8065375763417963E-5</c:v>
                </c:pt>
                <c:pt idx="246">
                  <c:v>-3.6369833949643266E-5</c:v>
                </c:pt>
                <c:pt idx="247">
                  <c:v>-3.4749136111871627E-5</c:v>
                </c:pt>
                <c:pt idx="248">
                  <c:v>-3.3200014845793452E-5</c:v>
                </c:pt>
                <c:pt idx="249">
                  <c:v>-3.1719343431912539E-5</c:v>
                </c:pt>
                <c:pt idx="250">
                  <c:v>-3.0304129884734021E-5</c:v>
                </c:pt>
                <c:pt idx="251">
                  <c:v>-2.8951511247773284E-5</c:v>
                </c:pt>
                <c:pt idx="252">
                  <c:v>-2.7658748124561526E-5</c:v>
                </c:pt>
                <c:pt idx="253">
                  <c:v>-2.6423219436199508E-5</c:v>
                </c:pt>
                <c:pt idx="254">
                  <c:v>-2.5242417396369122E-5</c:v>
                </c:pt>
                <c:pt idx="255">
                  <c:v>-2.4113942695061645E-5</c:v>
                </c:pt>
                <c:pt idx="256">
                  <c:v>-2.3035499882616775E-5</c:v>
                </c:pt>
                <c:pt idx="257">
                  <c:v>-2.2004892945988945E-5</c:v>
                </c:pt>
                <c:pt idx="258">
                  <c:v>-2.1020021069471155E-5</c:v>
                </c:pt>
                <c:pt idx="259">
                  <c:v>-2.0078874572405554E-5</c:v>
                </c:pt>
                <c:pt idx="260">
                  <c:v>-1.9179531016700931E-5</c:v>
                </c:pt>
                <c:pt idx="261">
                  <c:v>-1.8320151477256747E-5</c:v>
                </c:pt>
                <c:pt idx="262">
                  <c:v>-1.749897696866138E-5</c:v>
                </c:pt>
                <c:pt idx="263">
                  <c:v>-1.671432502179336E-5</c:v>
                </c:pt>
                <c:pt idx="264">
                  <c:v>-1.5964586404202508E-5</c:v>
                </c:pt>
                <c:pt idx="265">
                  <c:v>-1.5248221978389585E-5</c:v>
                </c:pt>
                <c:pt idx="266">
                  <c:v>-1.4563759692334772E-5</c:v>
                </c:pt>
                <c:pt idx="267">
                  <c:v>-1.3909791696847374E-5</c:v>
                </c:pt>
                <c:pt idx="268">
                  <c:v>-1.3284971584525499E-5</c:v>
                </c:pt>
                <c:pt idx="269">
                  <c:v>-1.2688011745319674E-5</c:v>
                </c:pt>
                <c:pt idx="270">
                  <c:v>-1.2117680833894304E-5</c:v>
                </c:pt>
                <c:pt idx="271">
                  <c:v>-1.1572801344172256E-5</c:v>
                </c:pt>
                <c:pt idx="272">
                  <c:v>-1.1052247286631356E-5</c:v>
                </c:pt>
                <c:pt idx="273">
                  <c:v>-1.0554941964099941E-5</c:v>
                </c:pt>
                <c:pt idx="274">
                  <c:v>-1.0079855841968004E-5</c:v>
                </c:pt>
                <c:pt idx="275">
                  <c:v>-9.6260045088951636E-6</c:v>
                </c:pt>
                <c:pt idx="276">
                  <c:v>-9.1924467242542521E-6</c:v>
                </c:pt>
                <c:pt idx="277">
                  <c:v>-8.7782825487004735E-6</c:v>
                </c:pt>
                <c:pt idx="278">
                  <c:v>-8.3826515544026909E-6</c:v>
                </c:pt>
                <c:pt idx="279">
                  <c:v>-8.004731111612728E-6</c:v>
                </c:pt>
                <c:pt idx="280">
                  <c:v>-7.6437347483838097E-6</c:v>
                </c:pt>
                <c:pt idx="281">
                  <c:v>-7.2989105803787139E-6</c:v>
                </c:pt>
                <c:pt idx="282">
                  <c:v>-6.9695398078322709E-6</c:v>
                </c:pt>
                <c:pt idx="283">
                  <c:v>-6.6549352768529936E-6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E-497C-9248-7ED5A931E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404811</xdr:colOff>
      <xdr:row>22</xdr:row>
      <xdr:rowOff>28575</xdr:rowOff>
    </xdr:from>
    <xdr:to>
      <xdr:col>22</xdr:col>
      <xdr:colOff>180974</xdr:colOff>
      <xdr:row>46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6816C-A8C6-41DB-83E3-A85BBB5507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195262</xdr:colOff>
      <xdr:row>4</xdr:row>
      <xdr:rowOff>123825</xdr:rowOff>
    </xdr:from>
    <xdr:to>
      <xdr:col>13</xdr:col>
      <xdr:colOff>500062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1126E0-293F-4347-997E-476B5EA86D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142875</xdr:colOff>
      <xdr:row>22</xdr:row>
      <xdr:rowOff>57150</xdr:rowOff>
    </xdr:from>
    <xdr:to>
      <xdr:col>9</xdr:col>
      <xdr:colOff>495300</xdr:colOff>
      <xdr:row>36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08ED7A-73CD-4588-B52B-6952BAF73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07"/>
  <sheetViews>
    <sheetView tabSelected="1" workbookViewId="0">
      <selection activeCell="P3" sqref="P3"/>
    </sheetView>
  </sheetViews>
  <sheetFormatPr defaultRowHeight="15" x14ac:dyDescent="0.25"/>
  <cols>
    <col min="9" max="14" width="10.28515625" bestFit="1" customWidth="1"/>
    <col min="18" max="18" width="12" bestFit="1" customWidth="1"/>
    <col min="20" max="20" width="12" bestFit="1" customWidth="1"/>
  </cols>
  <sheetData>
    <row r="1" spans="1:20" x14ac:dyDescent="0.25">
      <c r="B1" t="s">
        <v>10</v>
      </c>
      <c r="C1">
        <v>3</v>
      </c>
    </row>
    <row r="2" spans="1:20" x14ac:dyDescent="0.25">
      <c r="B2" t="s">
        <v>1</v>
      </c>
    </row>
    <row r="3" spans="1:20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T3" t="s">
        <v>13</v>
      </c>
    </row>
    <row r="4" spans="1:20" ht="18" x14ac:dyDescent="0.25">
      <c r="A4" t="s">
        <v>0</v>
      </c>
      <c r="B4" s="2">
        <v>7.4452699999999997E-2</v>
      </c>
      <c r="C4" s="3">
        <v>0.197572</v>
      </c>
      <c r="D4" s="4">
        <v>0.57864800000000005</v>
      </c>
      <c r="E4" s="5">
        <v>2.0717300000000001</v>
      </c>
      <c r="F4" s="6">
        <v>11.3056</v>
      </c>
      <c r="G4" s="1"/>
      <c r="T4">
        <f>SUM(T7:T107)*4*PI()</f>
        <v>12.559775046920773</v>
      </c>
    </row>
    <row r="5" spans="1:20" x14ac:dyDescent="0.25">
      <c r="A5" t="s">
        <v>2</v>
      </c>
      <c r="B5" s="1"/>
      <c r="C5" s="1"/>
      <c r="D5" s="1"/>
      <c r="E5" s="1"/>
      <c r="F5" s="1"/>
      <c r="G5" s="1"/>
    </row>
    <row r="6" spans="1:20" x14ac:dyDescent="0.25">
      <c r="A6" t="s">
        <v>9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I6" t="str">
        <f>CONCATENATE("d",B3," * ",B6)</f>
        <v>d1 * GCIA1</v>
      </c>
      <c r="J6" t="str">
        <f t="shared" ref="J6:N6" si="0">CONCATENATE("d",C3," * ",C6)</f>
        <v>d2 * GCIA2</v>
      </c>
      <c r="K6" t="str">
        <f t="shared" si="0"/>
        <v>d3 * GCIA3</v>
      </c>
      <c r="L6" t="str">
        <f t="shared" si="0"/>
        <v>d4 * GCIA4</v>
      </c>
      <c r="M6" t="str">
        <f t="shared" si="0"/>
        <v>d5 * GCIA5</v>
      </c>
      <c r="N6" t="str">
        <f t="shared" si="0"/>
        <v>d6 * GCIA6</v>
      </c>
      <c r="P6" t="s">
        <v>11</v>
      </c>
      <c r="R6" t="s">
        <v>12</v>
      </c>
    </row>
    <row r="7" spans="1:20" x14ac:dyDescent="0.25">
      <c r="A7">
        <v>-5</v>
      </c>
      <c r="B7">
        <f>GCIA(B$4,$A7)</f>
        <v>1.5792850049455048E-2</v>
      </c>
      <c r="C7">
        <f t="shared" ref="C7:G22" si="1">GCIA(C$4,$A7)</f>
        <v>1.5121448855300334E-3</v>
      </c>
      <c r="D7">
        <f t="shared" si="1"/>
        <v>2.4667781925852177E-7</v>
      </c>
      <c r="E7">
        <f t="shared" si="1"/>
        <v>3.9503655351094245E-23</v>
      </c>
      <c r="F7">
        <f t="shared" si="1"/>
        <v>7.8322752033746093E-123</v>
      </c>
      <c r="G7">
        <f t="shared" si="1"/>
        <v>0</v>
      </c>
      <c r="I7">
        <f>B$5*B7</f>
        <v>0</v>
      </c>
      <c r="J7">
        <f>C$5*C7</f>
        <v>0</v>
      </c>
      <c r="K7">
        <f t="shared" ref="J7:N7" si="2">D$5*D7</f>
        <v>0</v>
      </c>
      <c r="L7">
        <f t="shared" si="2"/>
        <v>0</v>
      </c>
      <c r="M7">
        <f t="shared" si="2"/>
        <v>0</v>
      </c>
      <c r="N7">
        <f t="shared" si="2"/>
        <v>0</v>
      </c>
      <c r="P7">
        <f>SUM(I7:N7)</f>
        <v>0</v>
      </c>
      <c r="R7">
        <f>S_1($C$1,A7)</f>
        <v>3.1790301675742852E-6</v>
      </c>
      <c r="T7">
        <f>0.1*A7^2*(R7-P7)^2/2</f>
        <v>1.2632791007934234E-11</v>
      </c>
    </row>
    <row r="8" spans="1:20" x14ac:dyDescent="0.25">
      <c r="A8">
        <v>-4.9000000000000004</v>
      </c>
      <c r="B8">
        <f t="shared" ref="B8:G23" si="3">GCIA(B$4,$A8)</f>
        <v>1.7000886369774221E-2</v>
      </c>
      <c r="C8">
        <f t="shared" si="1"/>
        <v>1.8388224187492134E-3</v>
      </c>
      <c r="D8">
        <f t="shared" si="1"/>
        <v>4.3744222053097704E-7</v>
      </c>
      <c r="E8">
        <f t="shared" si="1"/>
        <v>3.0717140312647769E-22</v>
      </c>
      <c r="F8">
        <f t="shared" si="1"/>
        <v>5.6852299672488774E-118</v>
      </c>
      <c r="G8">
        <f t="shared" si="1"/>
        <v>0</v>
      </c>
      <c r="I8">
        <f t="shared" ref="I8:I17" si="4">B$5*B8</f>
        <v>0</v>
      </c>
      <c r="J8">
        <f t="shared" ref="J8:J17" si="5">C$5*C8</f>
        <v>0</v>
      </c>
      <c r="K8">
        <f t="shared" ref="K8:K17" si="6">D$5*D8</f>
        <v>0</v>
      </c>
      <c r="L8">
        <f t="shared" ref="L8:L17" si="7">E$5*E8</f>
        <v>0</v>
      </c>
      <c r="M8">
        <f t="shared" ref="M8:M17" si="8">F$5*F8</f>
        <v>0</v>
      </c>
      <c r="N8">
        <f t="shared" ref="N8:N17" si="9">G$5*G8</f>
        <v>0</v>
      </c>
      <c r="P8">
        <f t="shared" ref="P8:P71" si="10">SUM(I8:N8)</f>
        <v>0</v>
      </c>
      <c r="R8">
        <f>S_1($C$1,A8)</f>
        <v>4.2912418712499616E-6</v>
      </c>
      <c r="T8">
        <f t="shared" ref="T8:T71" si="11">0.1*A8^2*(R8-P8)^2/2</f>
        <v>2.2106915535481436E-11</v>
      </c>
    </row>
    <row r="9" spans="1:20" x14ac:dyDescent="0.25">
      <c r="A9">
        <v>-4.8</v>
      </c>
      <c r="B9">
        <f t="shared" si="3"/>
        <v>1.8274097154327561E-2</v>
      </c>
      <c r="C9">
        <f t="shared" si="1"/>
        <v>2.2272557380964486E-3</v>
      </c>
      <c r="D9">
        <f t="shared" si="1"/>
        <v>7.6680550452940869E-7</v>
      </c>
      <c r="E9">
        <f t="shared" si="1"/>
        <v>2.2915506523577564E-21</v>
      </c>
      <c r="F9">
        <f t="shared" si="1"/>
        <v>3.2916142995567146E-113</v>
      </c>
      <c r="G9">
        <f t="shared" si="1"/>
        <v>0</v>
      </c>
      <c r="I9">
        <f t="shared" si="4"/>
        <v>0</v>
      </c>
      <c r="J9">
        <f t="shared" si="5"/>
        <v>0</v>
      </c>
      <c r="K9">
        <f t="shared" si="6"/>
        <v>0</v>
      </c>
      <c r="L9">
        <f t="shared" si="7"/>
        <v>0</v>
      </c>
      <c r="M9">
        <f t="shared" si="8"/>
        <v>0</v>
      </c>
      <c r="N9">
        <f t="shared" si="9"/>
        <v>0</v>
      </c>
      <c r="P9">
        <f t="shared" si="10"/>
        <v>0</v>
      </c>
      <c r="R9">
        <f>S_1($C$1,A9)</f>
        <v>5.7925706353457043E-6</v>
      </c>
      <c r="T9">
        <f t="shared" si="11"/>
        <v>3.865406349942067E-11</v>
      </c>
    </row>
    <row r="10" spans="1:20" x14ac:dyDescent="0.25">
      <c r="A10">
        <v>-4.7</v>
      </c>
      <c r="B10">
        <f t="shared" si="3"/>
        <v>1.9613432558033148E-2</v>
      </c>
      <c r="C10">
        <f t="shared" si="1"/>
        <v>2.687102879935001E-3</v>
      </c>
      <c r="D10">
        <f t="shared" si="1"/>
        <v>1.328690021661213E-6</v>
      </c>
      <c r="E10">
        <f t="shared" si="1"/>
        <v>1.6401490735042803E-20</v>
      </c>
      <c r="F10">
        <f t="shared" si="1"/>
        <v>1.5200947189674415E-108</v>
      </c>
      <c r="G10">
        <f t="shared" si="1"/>
        <v>0</v>
      </c>
      <c r="I10">
        <f t="shared" si="4"/>
        <v>0</v>
      </c>
      <c r="J10">
        <f t="shared" si="5"/>
        <v>0</v>
      </c>
      <c r="K10">
        <f t="shared" si="6"/>
        <v>0</v>
      </c>
      <c r="L10">
        <f t="shared" si="7"/>
        <v>0</v>
      </c>
      <c r="M10">
        <f t="shared" si="8"/>
        <v>0</v>
      </c>
      <c r="N10">
        <f t="shared" si="9"/>
        <v>0</v>
      </c>
      <c r="P10">
        <f t="shared" si="10"/>
        <v>0</v>
      </c>
      <c r="R10">
        <f>S_1($C$1,A10)</f>
        <v>7.8191524906275005E-6</v>
      </c>
      <c r="T10">
        <f t="shared" si="11"/>
        <v>6.7528186394377471E-11</v>
      </c>
    </row>
    <row r="11" spans="1:20" x14ac:dyDescent="0.25">
      <c r="A11">
        <v>-4.5999999999999996</v>
      </c>
      <c r="B11">
        <f t="shared" si="3"/>
        <v>2.1019607174483937E-2</v>
      </c>
      <c r="C11">
        <f t="shared" si="1"/>
        <v>3.2291068337284316E-3</v>
      </c>
      <c r="D11">
        <f t="shared" si="1"/>
        <v>2.275810267966991E-6</v>
      </c>
      <c r="E11">
        <f t="shared" si="1"/>
        <v>1.1262696118422838E-19</v>
      </c>
      <c r="F11">
        <f t="shared" si="1"/>
        <v>5.5992926432119824E-104</v>
      </c>
      <c r="G11">
        <f t="shared" si="1"/>
        <v>0</v>
      </c>
      <c r="I11">
        <f t="shared" si="4"/>
        <v>0</v>
      </c>
      <c r="J11">
        <f t="shared" si="5"/>
        <v>0</v>
      </c>
      <c r="K11">
        <f t="shared" si="6"/>
        <v>0</v>
      </c>
      <c r="L11">
        <f t="shared" si="7"/>
        <v>0</v>
      </c>
      <c r="M11">
        <f t="shared" si="8"/>
        <v>0</v>
      </c>
      <c r="N11">
        <f t="shared" si="9"/>
        <v>0</v>
      </c>
      <c r="P11">
        <f t="shared" si="10"/>
        <v>0</v>
      </c>
      <c r="R11">
        <f>S_1($C$1,A11)</f>
        <v>1.0554751857253398E-5</v>
      </c>
      <c r="T11">
        <f t="shared" si="11"/>
        <v>1.1786414840074929E-10</v>
      </c>
    </row>
    <row r="12" spans="1:20" x14ac:dyDescent="0.25">
      <c r="A12">
        <v>-4.5</v>
      </c>
      <c r="B12">
        <f t="shared" si="3"/>
        <v>2.2493078374775592E-2</v>
      </c>
      <c r="C12">
        <f t="shared" si="1"/>
        <v>3.8651330158402542E-3</v>
      </c>
      <c r="D12">
        <f t="shared" si="1"/>
        <v>3.85320716246881E-6</v>
      </c>
      <c r="E12">
        <f t="shared" si="1"/>
        <v>7.4200459003359895E-19</v>
      </c>
      <c r="F12">
        <f t="shared" si="1"/>
        <v>1.6451158562694691E-99</v>
      </c>
      <c r="G12">
        <f t="shared" si="1"/>
        <v>0</v>
      </c>
      <c r="I12">
        <f t="shared" si="4"/>
        <v>0</v>
      </c>
      <c r="J12">
        <f t="shared" si="5"/>
        <v>0</v>
      </c>
      <c r="K12">
        <f t="shared" si="6"/>
        <v>0</v>
      </c>
      <c r="L12">
        <f t="shared" si="7"/>
        <v>0</v>
      </c>
      <c r="M12">
        <f t="shared" si="8"/>
        <v>0</v>
      </c>
      <c r="N12">
        <f t="shared" si="9"/>
        <v>0</v>
      </c>
      <c r="P12">
        <f t="shared" si="10"/>
        <v>0</v>
      </c>
      <c r="R12">
        <f>S_1($C$1,A12)</f>
        <v>1.4247424756292663E-5</v>
      </c>
      <c r="T12">
        <f t="shared" si="11"/>
        <v>2.055264760885488E-10</v>
      </c>
    </row>
    <row r="13" spans="1:20" x14ac:dyDescent="0.25">
      <c r="A13">
        <v>-4.4000000000000004</v>
      </c>
      <c r="B13">
        <f t="shared" si="3"/>
        <v>2.4034025058014812E-2</v>
      </c>
      <c r="C13">
        <f t="shared" si="1"/>
        <v>4.6081901002159205E-3</v>
      </c>
      <c r="D13">
        <f t="shared" si="1"/>
        <v>6.4488547102316521E-6</v>
      </c>
      <c r="E13">
        <f t="shared" si="1"/>
        <v>4.6900340858105236E-18</v>
      </c>
      <c r="F13">
        <f t="shared" si="1"/>
        <v>3.8553216441203943E-95</v>
      </c>
      <c r="G13">
        <f t="shared" si="1"/>
        <v>0</v>
      </c>
      <c r="I13">
        <f t="shared" si="4"/>
        <v>0</v>
      </c>
      <c r="J13">
        <f t="shared" si="5"/>
        <v>0</v>
      </c>
      <c r="K13">
        <f t="shared" si="6"/>
        <v>0</v>
      </c>
      <c r="L13">
        <f t="shared" si="7"/>
        <v>0</v>
      </c>
      <c r="M13">
        <f t="shared" si="8"/>
        <v>0</v>
      </c>
      <c r="N13">
        <f t="shared" si="9"/>
        <v>0</v>
      </c>
      <c r="P13">
        <f t="shared" si="10"/>
        <v>0</v>
      </c>
      <c r="R13">
        <f>S_1($C$1,A13)</f>
        <v>1.9232011792558017E-5</v>
      </c>
      <c r="T13">
        <f t="shared" si="11"/>
        <v>3.5803442870623983E-10</v>
      </c>
    </row>
    <row r="14" spans="1:20" x14ac:dyDescent="0.25">
      <c r="A14">
        <v>-4.3</v>
      </c>
      <c r="B14">
        <f t="shared" si="3"/>
        <v>2.5642327039255539E-2</v>
      </c>
      <c r="C14">
        <f t="shared" si="1"/>
        <v>5.4724303164464848E-3</v>
      </c>
      <c r="D14">
        <f t="shared" si="1"/>
        <v>1.0668828982920891E-5</v>
      </c>
      <c r="E14">
        <f t="shared" si="1"/>
        <v>2.8441374972436071E-17</v>
      </c>
      <c r="F14">
        <f t="shared" si="1"/>
        <v>7.2065192456114948E-91</v>
      </c>
      <c r="G14">
        <f t="shared" si="1"/>
        <v>0</v>
      </c>
      <c r="I14">
        <f t="shared" si="4"/>
        <v>0</v>
      </c>
      <c r="J14">
        <f t="shared" si="5"/>
        <v>0</v>
      </c>
      <c r="K14">
        <f t="shared" si="6"/>
        <v>0</v>
      </c>
      <c r="L14">
        <f t="shared" si="7"/>
        <v>0</v>
      </c>
      <c r="M14">
        <f t="shared" si="8"/>
        <v>0</v>
      </c>
      <c r="N14">
        <f t="shared" si="9"/>
        <v>0</v>
      </c>
      <c r="P14">
        <f t="shared" si="10"/>
        <v>0</v>
      </c>
      <c r="R14">
        <f>S_1($C$1,A14)</f>
        <v>2.5960500505590063E-5</v>
      </c>
      <c r="T14">
        <f t="shared" si="11"/>
        <v>6.2306454371993593E-10</v>
      </c>
    </row>
    <row r="15" spans="1:20" x14ac:dyDescent="0.25">
      <c r="A15">
        <v>-4.2</v>
      </c>
      <c r="B15">
        <f t="shared" si="3"/>
        <v>2.7317545309737051E-2</v>
      </c>
      <c r="C15">
        <f t="shared" si="1"/>
        <v>6.4731251719830447E-3</v>
      </c>
      <c r="D15">
        <f t="shared" si="1"/>
        <v>1.7447163943919361E-5</v>
      </c>
      <c r="E15">
        <f t="shared" si="1"/>
        <v>1.6547422627218716E-16</v>
      </c>
      <c r="F15">
        <f t="shared" si="1"/>
        <v>1.0744625705061183E-86</v>
      </c>
      <c r="G15">
        <f t="shared" si="1"/>
        <v>0</v>
      </c>
      <c r="I15">
        <f t="shared" si="4"/>
        <v>0</v>
      </c>
      <c r="J15">
        <f t="shared" si="5"/>
        <v>0</v>
      </c>
      <c r="K15">
        <f t="shared" si="6"/>
        <v>0</v>
      </c>
      <c r="L15">
        <f t="shared" si="7"/>
        <v>0</v>
      </c>
      <c r="M15">
        <f t="shared" si="8"/>
        <v>0</v>
      </c>
      <c r="N15">
        <f t="shared" si="9"/>
        <v>0</v>
      </c>
      <c r="P15">
        <f t="shared" si="10"/>
        <v>0</v>
      </c>
      <c r="R15">
        <f>S_1($C$1,A15)</f>
        <v>3.5043010256551925E-5</v>
      </c>
      <c r="T15">
        <f t="shared" si="11"/>
        <v>1.0831070848355889E-9</v>
      </c>
    </row>
    <row r="16" spans="1:20" x14ac:dyDescent="0.25">
      <c r="A16">
        <v>-4.0999999999999996</v>
      </c>
      <c r="B16">
        <f t="shared" si="3"/>
        <v>2.9058903411175008E-2</v>
      </c>
      <c r="C16">
        <f t="shared" si="1"/>
        <v>7.6266125105571335E-3</v>
      </c>
      <c r="D16">
        <f t="shared" si="1"/>
        <v>2.8203750082059406E-5</v>
      </c>
      <c r="E16">
        <f t="shared" si="1"/>
        <v>9.2366675349166863E-16</v>
      </c>
      <c r="F16">
        <f t="shared" si="1"/>
        <v>1.2777851533224303E-82</v>
      </c>
      <c r="G16">
        <f t="shared" si="1"/>
        <v>0</v>
      </c>
      <c r="I16">
        <f t="shared" si="4"/>
        <v>0</v>
      </c>
      <c r="J16">
        <f t="shared" si="5"/>
        <v>0</v>
      </c>
      <c r="K16">
        <f t="shared" si="6"/>
        <v>0</v>
      </c>
      <c r="L16">
        <f t="shared" si="7"/>
        <v>0</v>
      </c>
      <c r="M16">
        <f t="shared" si="8"/>
        <v>0</v>
      </c>
      <c r="N16">
        <f t="shared" si="9"/>
        <v>0</v>
      </c>
      <c r="P16">
        <f t="shared" si="10"/>
        <v>0</v>
      </c>
      <c r="R16">
        <f>S_1($C$1,A16)</f>
        <v>4.730311603878295E-5</v>
      </c>
      <c r="T16">
        <f t="shared" si="11"/>
        <v>1.880690013455484E-9</v>
      </c>
    </row>
    <row r="17" spans="1:20" x14ac:dyDescent="0.25">
      <c r="A17">
        <v>-4</v>
      </c>
      <c r="B17">
        <f t="shared" si="3"/>
        <v>3.0865270170232245E-2</v>
      </c>
      <c r="C17">
        <f t="shared" si="1"/>
        <v>8.950210906040014E-3</v>
      </c>
      <c r="D17">
        <f t="shared" si="1"/>
        <v>4.5067430814322185E-5</v>
      </c>
      <c r="E17">
        <f t="shared" si="1"/>
        <v>4.9465846622086267E-15</v>
      </c>
      <c r="F17">
        <f t="shared" si="1"/>
        <v>1.2120629899535364E-78</v>
      </c>
      <c r="G17">
        <f t="shared" si="1"/>
        <v>0</v>
      </c>
      <c r="I17">
        <f t="shared" si="4"/>
        <v>0</v>
      </c>
      <c r="J17">
        <f t="shared" si="5"/>
        <v>0</v>
      </c>
      <c r="K17">
        <f t="shared" si="6"/>
        <v>0</v>
      </c>
      <c r="L17">
        <f t="shared" si="7"/>
        <v>0</v>
      </c>
      <c r="M17">
        <f t="shared" si="8"/>
        <v>0</v>
      </c>
      <c r="N17">
        <f t="shared" si="9"/>
        <v>0</v>
      </c>
      <c r="P17">
        <f t="shared" si="10"/>
        <v>0</v>
      </c>
      <c r="R17">
        <f>S_1($C$1,A17)</f>
        <v>6.385252781074079E-5</v>
      </c>
      <c r="T17">
        <f t="shared" si="11"/>
        <v>3.2617162462571411E-9</v>
      </c>
    </row>
    <row r="18" spans="1:20" x14ac:dyDescent="0.25">
      <c r="A18">
        <v>-3.9</v>
      </c>
      <c r="B18">
        <f t="shared" si="3"/>
        <v>3.273514404094359E-2</v>
      </c>
      <c r="C18">
        <f t="shared" si="1"/>
        <v>1.0462097631644626E-2</v>
      </c>
      <c r="D18">
        <f t="shared" si="1"/>
        <v>7.1185685420202018E-5</v>
      </c>
      <c r="E18">
        <f t="shared" si="1"/>
        <v>2.5415623191426337E-14</v>
      </c>
      <c r="F18">
        <f t="shared" si="1"/>
        <v>9.1705070504153693E-75</v>
      </c>
      <c r="G18">
        <f t="shared" si="1"/>
        <v>0</v>
      </c>
      <c r="I18">
        <f t="shared" ref="I18:I81" si="12">B$5*B18</f>
        <v>0</v>
      </c>
      <c r="J18">
        <f t="shared" ref="J18:J81" si="13">C$5*C18</f>
        <v>0</v>
      </c>
      <c r="K18">
        <f t="shared" ref="K18:K81" si="14">D$5*D18</f>
        <v>0</v>
      </c>
      <c r="L18">
        <f t="shared" ref="L18:L81" si="15">E$5*E18</f>
        <v>0</v>
      </c>
      <c r="M18">
        <f t="shared" ref="M18:M81" si="16">F$5*F18</f>
        <v>0</v>
      </c>
      <c r="N18">
        <f t="shared" ref="N18:N81" si="17">G$5*G18</f>
        <v>0</v>
      </c>
      <c r="P18">
        <f t="shared" si="10"/>
        <v>0</v>
      </c>
      <c r="R18">
        <f>S_1($C$1,A18)</f>
        <v>8.619189705132019E-5</v>
      </c>
      <c r="T18">
        <f t="shared" si="11"/>
        <v>5.6497872907107395E-9</v>
      </c>
    </row>
    <row r="19" spans="1:20" x14ac:dyDescent="0.25">
      <c r="A19">
        <v>-3.8</v>
      </c>
      <c r="B19">
        <f t="shared" si="3"/>
        <v>3.4666639301581294E-2</v>
      </c>
      <c r="C19">
        <f t="shared" si="1"/>
        <v>1.218114685760323E-2</v>
      </c>
      <c r="D19">
        <f t="shared" si="1"/>
        <v>1.1114667336650671E-4</v>
      </c>
      <c r="E19">
        <f t="shared" si="1"/>
        <v>1.2528563008074024E-13</v>
      </c>
      <c r="F19">
        <f t="shared" si="1"/>
        <v>5.5342951133019841E-71</v>
      </c>
      <c r="G19">
        <f t="shared" si="1"/>
        <v>0</v>
      </c>
      <c r="I19">
        <f t="shared" si="12"/>
        <v>0</v>
      </c>
      <c r="J19">
        <f t="shared" si="13"/>
        <v>0</v>
      </c>
      <c r="K19">
        <f t="shared" si="14"/>
        <v>0</v>
      </c>
      <c r="L19">
        <f t="shared" si="15"/>
        <v>0</v>
      </c>
      <c r="M19">
        <f t="shared" si="16"/>
        <v>0</v>
      </c>
      <c r="N19">
        <f t="shared" si="17"/>
        <v>0</v>
      </c>
      <c r="P19">
        <f t="shared" si="10"/>
        <v>0</v>
      </c>
      <c r="R19">
        <f>S_1($C$1,A19)</f>
        <v>1.1634689137640879E-4</v>
      </c>
      <c r="T19">
        <f t="shared" si="11"/>
        <v>9.773424573992691E-9</v>
      </c>
    </row>
    <row r="20" spans="1:20" x14ac:dyDescent="0.25">
      <c r="A20">
        <v>-3.7</v>
      </c>
      <c r="B20">
        <f t="shared" si="3"/>
        <v>3.6657474348057918E-2</v>
      </c>
      <c r="C20">
        <f t="shared" si="1"/>
        <v>1.4126725331412876E-2</v>
      </c>
      <c r="D20">
        <f t="shared" si="1"/>
        <v>1.7154347117683859E-4</v>
      </c>
      <c r="E20">
        <f t="shared" si="1"/>
        <v>5.9252535847839412E-13</v>
      </c>
      <c r="F20">
        <f t="shared" si="1"/>
        <v>2.6639869000594806E-67</v>
      </c>
      <c r="G20">
        <f t="shared" si="1"/>
        <v>0</v>
      </c>
      <c r="I20">
        <f t="shared" si="12"/>
        <v>0</v>
      </c>
      <c r="J20">
        <f t="shared" si="13"/>
        <v>0</v>
      </c>
      <c r="K20">
        <f t="shared" si="14"/>
        <v>0</v>
      </c>
      <c r="L20">
        <f t="shared" si="15"/>
        <v>0</v>
      </c>
      <c r="M20">
        <f t="shared" si="16"/>
        <v>0</v>
      </c>
      <c r="N20">
        <f t="shared" si="17"/>
        <v>0</v>
      </c>
      <c r="P20">
        <f t="shared" si="10"/>
        <v>0</v>
      </c>
      <c r="R20">
        <f>S_1($C$1,A20)</f>
        <v>1.5705187605853348E-4</v>
      </c>
      <c r="T20">
        <f t="shared" si="11"/>
        <v>1.688339221896415E-8</v>
      </c>
    </row>
    <row r="21" spans="1:20" x14ac:dyDescent="0.25">
      <c r="A21">
        <v>-3.6</v>
      </c>
      <c r="B21">
        <f t="shared" si="3"/>
        <v>3.8704962318332557E-2</v>
      </c>
      <c r="C21">
        <f t="shared" si="1"/>
        <v>1.6318443593287713E-2</v>
      </c>
      <c r="D21">
        <f t="shared" si="1"/>
        <v>2.617133316516037E-4</v>
      </c>
      <c r="E21">
        <f t="shared" si="1"/>
        <v>2.6885480572684744E-12</v>
      </c>
      <c r="F21">
        <f t="shared" si="1"/>
        <v>1.0228281262206282E-63</v>
      </c>
      <c r="G21">
        <f t="shared" si="1"/>
        <v>0</v>
      </c>
      <c r="I21">
        <f t="shared" si="12"/>
        <v>0</v>
      </c>
      <c r="J21">
        <f t="shared" si="13"/>
        <v>0</v>
      </c>
      <c r="K21">
        <f t="shared" si="14"/>
        <v>0</v>
      </c>
      <c r="L21">
        <f t="shared" si="15"/>
        <v>0</v>
      </c>
      <c r="M21">
        <f t="shared" si="16"/>
        <v>0</v>
      </c>
      <c r="N21">
        <f t="shared" si="17"/>
        <v>0</v>
      </c>
      <c r="P21">
        <f t="shared" si="10"/>
        <v>0</v>
      </c>
      <c r="R21">
        <f>S_1($C$1,A21)</f>
        <v>2.1199785814394638E-4</v>
      </c>
      <c r="T21">
        <f t="shared" si="11"/>
        <v>2.9123123523738294E-8</v>
      </c>
    </row>
    <row r="22" spans="1:20" x14ac:dyDescent="0.25">
      <c r="A22">
        <v>-3.5000000000000102</v>
      </c>
      <c r="B22">
        <f t="shared" si="3"/>
        <v>4.0806004271324484E-2</v>
      </c>
      <c r="C22">
        <f t="shared" si="1"/>
        <v>1.8775861778751381E-2</v>
      </c>
      <c r="D22">
        <f t="shared" si="1"/>
        <v>3.9468573109007463E-4</v>
      </c>
      <c r="E22">
        <f t="shared" si="1"/>
        <v>1.1703987459322599E-11</v>
      </c>
      <c r="F22">
        <f t="shared" si="1"/>
        <v>3.1323771348703253E-60</v>
      </c>
      <c r="G22">
        <f t="shared" si="1"/>
        <v>0</v>
      </c>
      <c r="I22">
        <f t="shared" si="12"/>
        <v>0</v>
      </c>
      <c r="J22">
        <f t="shared" si="13"/>
        <v>0</v>
      </c>
      <c r="K22">
        <f t="shared" si="14"/>
        <v>0</v>
      </c>
      <c r="L22">
        <f t="shared" si="15"/>
        <v>0</v>
      </c>
      <c r="M22">
        <f t="shared" si="16"/>
        <v>0</v>
      </c>
      <c r="N22">
        <f t="shared" si="17"/>
        <v>0</v>
      </c>
      <c r="P22">
        <f t="shared" si="10"/>
        <v>0</v>
      </c>
      <c r="R22">
        <f>S_1($C$1,A22)</f>
        <v>2.8616717600284564E-4</v>
      </c>
      <c r="T22">
        <f t="shared" si="11"/>
        <v>5.0158637230634518E-8</v>
      </c>
    </row>
    <row r="23" spans="1:20" x14ac:dyDescent="0.25">
      <c r="A23">
        <v>-3.4000000000000101</v>
      </c>
      <c r="B23">
        <f t="shared" si="3"/>
        <v>4.2957085129496426E-2</v>
      </c>
      <c r="C23">
        <f t="shared" si="3"/>
        <v>2.1518150255512455E-2</v>
      </c>
      <c r="D23">
        <f t="shared" si="3"/>
        <v>5.8837055838257385E-4</v>
      </c>
      <c r="E23">
        <f t="shared" si="3"/>
        <v>4.8882687367593239E-11</v>
      </c>
      <c r="F23">
        <f t="shared" si="3"/>
        <v>7.6514938656478799E-57</v>
      </c>
      <c r="G23">
        <f t="shared" si="3"/>
        <v>0</v>
      </c>
      <c r="I23">
        <f t="shared" si="12"/>
        <v>0</v>
      </c>
      <c r="J23">
        <f t="shared" si="13"/>
        <v>0</v>
      </c>
      <c r="K23">
        <f t="shared" si="14"/>
        <v>0</v>
      </c>
      <c r="L23">
        <f t="shared" si="15"/>
        <v>0</v>
      </c>
      <c r="M23">
        <f t="shared" si="16"/>
        <v>0</v>
      </c>
      <c r="N23">
        <f t="shared" si="17"/>
        <v>0</v>
      </c>
      <c r="P23">
        <f t="shared" si="10"/>
        <v>0</v>
      </c>
      <c r="R23">
        <f>S_1($C$1,A23)</f>
        <v>3.8628528296659302E-4</v>
      </c>
      <c r="T23">
        <f t="shared" si="11"/>
        <v>8.6247032865544232E-8</v>
      </c>
    </row>
    <row r="24" spans="1:20" x14ac:dyDescent="0.25">
      <c r="A24">
        <v>-3.30000000000001</v>
      </c>
      <c r="B24">
        <f t="shared" ref="B24:G87" si="18">GCIA(B$4,$A24)</f>
        <v>4.5154272576542621E-2</v>
      </c>
      <c r="C24">
        <f t="shared" si="18"/>
        <v>2.4563706718954661E-2</v>
      </c>
      <c r="D24">
        <f t="shared" si="18"/>
        <v>8.6701052020326608E-4</v>
      </c>
      <c r="E24">
        <f t="shared" si="18"/>
        <v>1.9587611483643515E-10</v>
      </c>
      <c r="F24">
        <f t="shared" si="18"/>
        <v>1.4907994703645254E-53</v>
      </c>
      <c r="G24">
        <f t="shared" si="18"/>
        <v>0</v>
      </c>
      <c r="I24">
        <f t="shared" si="12"/>
        <v>0</v>
      </c>
      <c r="J24">
        <f t="shared" si="13"/>
        <v>0</v>
      </c>
      <c r="K24">
        <f t="shared" si="14"/>
        <v>0</v>
      </c>
      <c r="L24">
        <f t="shared" si="15"/>
        <v>0</v>
      </c>
      <c r="M24">
        <f t="shared" si="16"/>
        <v>0</v>
      </c>
      <c r="N24">
        <f t="shared" si="17"/>
        <v>0</v>
      </c>
      <c r="P24">
        <f t="shared" si="10"/>
        <v>0</v>
      </c>
      <c r="R24">
        <f>S_1($C$1,A24)</f>
        <v>5.2143059144944468E-4</v>
      </c>
      <c r="T24">
        <f t="shared" si="11"/>
        <v>1.480440296952794E-7</v>
      </c>
    </row>
    <row r="25" spans="1:20" x14ac:dyDescent="0.25">
      <c r="A25">
        <v>-3.2000000000000099</v>
      </c>
      <c r="B25">
        <f t="shared" si="18"/>
        <v>4.7393219080573597E-2</v>
      </c>
      <c r="C25">
        <f t="shared" si="18"/>
        <v>2.7929732905924331E-2</v>
      </c>
      <c r="D25">
        <f t="shared" si="18"/>
        <v>1.2629080422788205E-3</v>
      </c>
      <c r="E25">
        <f t="shared" si="18"/>
        <v>7.5303137397006962E-10</v>
      </c>
      <c r="F25">
        <f t="shared" si="18"/>
        <v>2.3168239353603086E-50</v>
      </c>
      <c r="G25">
        <f t="shared" si="18"/>
        <v>0</v>
      </c>
      <c r="I25">
        <f t="shared" si="12"/>
        <v>0</v>
      </c>
      <c r="J25">
        <f t="shared" si="13"/>
        <v>0</v>
      </c>
      <c r="K25">
        <f t="shared" si="14"/>
        <v>0</v>
      </c>
      <c r="L25">
        <f t="shared" si="15"/>
        <v>0</v>
      </c>
      <c r="M25">
        <f t="shared" si="16"/>
        <v>0</v>
      </c>
      <c r="N25">
        <f t="shared" si="17"/>
        <v>0</v>
      </c>
      <c r="P25">
        <f t="shared" si="10"/>
        <v>0</v>
      </c>
      <c r="R25">
        <f>S_1($C$1,A25)</f>
        <v>7.038576764075978E-4</v>
      </c>
      <c r="T25">
        <f t="shared" si="11"/>
        <v>2.5365280186260776E-7</v>
      </c>
    </row>
    <row r="26" spans="1:20" x14ac:dyDescent="0.25">
      <c r="A26">
        <v>-3.1000000000000099</v>
      </c>
      <c r="B26">
        <f t="shared" si="18"/>
        <v>4.9669167188910998E-2</v>
      </c>
      <c r="C26">
        <f t="shared" si="18"/>
        <v>3.1631775745778828E-2</v>
      </c>
      <c r="D26">
        <f t="shared" si="18"/>
        <v>1.818415053137071E-3</v>
      </c>
      <c r="E26">
        <f t="shared" si="18"/>
        <v>2.7774729770480273E-9</v>
      </c>
      <c r="F26">
        <f t="shared" si="18"/>
        <v>2.8718889252601264E-47</v>
      </c>
      <c r="G26">
        <f t="shared" si="18"/>
        <v>0</v>
      </c>
      <c r="I26">
        <f t="shared" si="12"/>
        <v>0</v>
      </c>
      <c r="J26">
        <f t="shared" si="13"/>
        <v>0</v>
      </c>
      <c r="K26">
        <f t="shared" si="14"/>
        <v>0</v>
      </c>
      <c r="L26">
        <f t="shared" si="15"/>
        <v>0</v>
      </c>
      <c r="M26">
        <f t="shared" si="16"/>
        <v>0</v>
      </c>
      <c r="N26">
        <f t="shared" si="17"/>
        <v>0</v>
      </c>
      <c r="P26">
        <f t="shared" si="10"/>
        <v>0</v>
      </c>
      <c r="R26">
        <f>S_1($C$1,A26)</f>
        <v>9.5010848377877698E-4</v>
      </c>
      <c r="T26">
        <f t="shared" si="11"/>
        <v>4.3375029592071215E-7</v>
      </c>
    </row>
    <row r="27" spans="1:20" x14ac:dyDescent="0.25">
      <c r="A27">
        <v>-3.0000000000000102</v>
      </c>
      <c r="B27">
        <f t="shared" si="18"/>
        <v>5.1976958213277358E-2</v>
      </c>
      <c r="C27">
        <f t="shared" si="18"/>
        <v>3.568323950635096E-2</v>
      </c>
      <c r="D27">
        <f t="shared" si="18"/>
        <v>2.5881427971377298E-3</v>
      </c>
      <c r="E27">
        <f t="shared" si="18"/>
        <v>9.8286030507210648E-9</v>
      </c>
      <c r="F27">
        <f t="shared" si="18"/>
        <v>2.8395077122966082E-44</v>
      </c>
      <c r="G27">
        <f t="shared" si="18"/>
        <v>0</v>
      </c>
      <c r="I27">
        <f t="shared" si="12"/>
        <v>0</v>
      </c>
      <c r="J27">
        <f t="shared" si="13"/>
        <v>0</v>
      </c>
      <c r="K27">
        <f t="shared" si="14"/>
        <v>0</v>
      </c>
      <c r="L27">
        <f t="shared" si="15"/>
        <v>0</v>
      </c>
      <c r="M27">
        <f t="shared" si="16"/>
        <v>0</v>
      </c>
      <c r="N27">
        <f t="shared" si="17"/>
        <v>0</v>
      </c>
      <c r="P27">
        <f t="shared" si="10"/>
        <v>0</v>
      </c>
      <c r="R27">
        <f>S_1($C$1,A27)</f>
        <v>1.2825123049814628E-3</v>
      </c>
      <c r="T27">
        <f t="shared" si="11"/>
        <v>7.4017701559299419E-7</v>
      </c>
    </row>
    <row r="28" spans="1:20" x14ac:dyDescent="0.25">
      <c r="A28">
        <v>-2.9000000000000101</v>
      </c>
      <c r="B28">
        <f t="shared" si="18"/>
        <v>5.4311044393988393E-2</v>
      </c>
      <c r="C28">
        <f t="shared" si="18"/>
        <v>4.0094877256192964E-2</v>
      </c>
      <c r="D28">
        <f t="shared" si="18"/>
        <v>3.6413076868232644E-3</v>
      </c>
      <c r="E28">
        <f t="shared" si="18"/>
        <v>3.3368672584000167E-8</v>
      </c>
      <c r="F28">
        <f t="shared" si="18"/>
        <v>2.2393360539080903E-41</v>
      </c>
      <c r="G28">
        <f t="shared" si="18"/>
        <v>0</v>
      </c>
      <c r="I28">
        <f t="shared" si="12"/>
        <v>0</v>
      </c>
      <c r="J28">
        <f t="shared" si="13"/>
        <v>0</v>
      </c>
      <c r="K28">
        <f t="shared" si="14"/>
        <v>0</v>
      </c>
      <c r="L28">
        <f t="shared" si="15"/>
        <v>0</v>
      </c>
      <c r="M28">
        <f t="shared" si="16"/>
        <v>0</v>
      </c>
      <c r="N28">
        <f t="shared" si="17"/>
        <v>0</v>
      </c>
      <c r="P28">
        <f t="shared" si="10"/>
        <v>0</v>
      </c>
      <c r="R28">
        <f>S_1($C$1,A28)</f>
        <v>1.7312105307038268E-3</v>
      </c>
      <c r="T28">
        <f t="shared" si="11"/>
        <v>1.2602763036311456E-6</v>
      </c>
    </row>
    <row r="29" spans="1:20" x14ac:dyDescent="0.25">
      <c r="A29">
        <v>-2.80000000000001</v>
      </c>
      <c r="B29">
        <f t="shared" si="18"/>
        <v>5.666550459900431E-2</v>
      </c>
      <c r="C29">
        <f t="shared" si="18"/>
        <v>4.4874271690105043E-2</v>
      </c>
      <c r="D29">
        <f t="shared" si="18"/>
        <v>5.0640787301746834E-3</v>
      </c>
      <c r="E29">
        <f t="shared" si="18"/>
        <v>1.0869041516111639E-7</v>
      </c>
      <c r="F29">
        <f t="shared" si="18"/>
        <v>1.4086279400184702E-38</v>
      </c>
      <c r="G29">
        <f t="shared" si="18"/>
        <v>0</v>
      </c>
      <c r="I29">
        <f t="shared" si="12"/>
        <v>0</v>
      </c>
      <c r="J29">
        <f t="shared" si="13"/>
        <v>0</v>
      </c>
      <c r="K29">
        <f t="shared" si="14"/>
        <v>0</v>
      </c>
      <c r="L29">
        <f t="shared" si="15"/>
        <v>0</v>
      </c>
      <c r="M29">
        <f t="shared" si="16"/>
        <v>0</v>
      </c>
      <c r="N29">
        <f t="shared" si="17"/>
        <v>0</v>
      </c>
      <c r="P29">
        <f t="shared" si="10"/>
        <v>0</v>
      </c>
      <c r="R29">
        <f>S_1($C$1,A29)</f>
        <v>2.3368897826388886E-3</v>
      </c>
      <c r="T29">
        <f t="shared" si="11"/>
        <v>2.140733111631212E-6</v>
      </c>
    </row>
    <row r="30" spans="1:20" x14ac:dyDescent="0.25">
      <c r="A30">
        <v>-2.7000000000000099</v>
      </c>
      <c r="B30">
        <f t="shared" si="18"/>
        <v>5.9034063578695964E-2</v>
      </c>
      <c r="C30">
        <f t="shared" si="18"/>
        <v>5.0025316982414761E-2</v>
      </c>
      <c r="D30">
        <f t="shared" si="18"/>
        <v>6.9617343516112633E-3</v>
      </c>
      <c r="E30">
        <f t="shared" si="18"/>
        <v>3.3966339524884483E-7</v>
      </c>
      <c r="F30">
        <f t="shared" si="18"/>
        <v>7.0676352864564853E-36</v>
      </c>
      <c r="G30">
        <f t="shared" si="18"/>
        <v>0</v>
      </c>
      <c r="I30">
        <f t="shared" si="12"/>
        <v>0</v>
      </c>
      <c r="J30">
        <f t="shared" si="13"/>
        <v>0</v>
      </c>
      <c r="K30">
        <f t="shared" si="14"/>
        <v>0</v>
      </c>
      <c r="L30">
        <f t="shared" si="15"/>
        <v>0</v>
      </c>
      <c r="M30">
        <f t="shared" si="16"/>
        <v>0</v>
      </c>
      <c r="N30">
        <f t="shared" si="17"/>
        <v>0</v>
      </c>
      <c r="P30">
        <f t="shared" si="10"/>
        <v>0</v>
      </c>
      <c r="R30">
        <f>S_1($C$1,A30)</f>
        <v>3.1544712554294778E-3</v>
      </c>
      <c r="T30">
        <f t="shared" si="11"/>
        <v>3.6270261045351126E-6</v>
      </c>
    </row>
    <row r="31" spans="1:20" x14ac:dyDescent="0.25">
      <c r="A31">
        <v>-2.6000000000000099</v>
      </c>
      <c r="B31">
        <f t="shared" si="18"/>
        <v>6.1410114760301233E-2</v>
      </c>
      <c r="C31">
        <f t="shared" si="18"/>
        <v>5.554771476689848E-2</v>
      </c>
      <c r="D31">
        <f t="shared" si="18"/>
        <v>9.4603754624595984E-3</v>
      </c>
      <c r="E31">
        <f t="shared" si="18"/>
        <v>1.0183836711109181E-6</v>
      </c>
      <c r="F31">
        <f t="shared" si="18"/>
        <v>2.8284777614920588E-33</v>
      </c>
      <c r="G31">
        <f t="shared" si="18"/>
        <v>0</v>
      </c>
      <c r="I31">
        <f t="shared" si="12"/>
        <v>0</v>
      </c>
      <c r="J31">
        <f t="shared" si="13"/>
        <v>0</v>
      </c>
      <c r="K31">
        <f t="shared" si="14"/>
        <v>0</v>
      </c>
      <c r="L31">
        <f t="shared" si="15"/>
        <v>0</v>
      </c>
      <c r="M31">
        <f t="shared" si="16"/>
        <v>0</v>
      </c>
      <c r="N31">
        <f t="shared" si="17"/>
        <v>0</v>
      </c>
      <c r="P31">
        <f t="shared" si="10"/>
        <v>0</v>
      </c>
      <c r="R31">
        <f>S_1($C$1,A31)</f>
        <v>4.2580908073868154E-3</v>
      </c>
      <c r="T31">
        <f t="shared" si="11"/>
        <v>6.1283920154958573E-6</v>
      </c>
    </row>
    <row r="32" spans="1:20" x14ac:dyDescent="0.25">
      <c r="A32">
        <v>-2.5000000000000102</v>
      </c>
      <c r="B32">
        <f t="shared" si="18"/>
        <v>6.3786746527708021E-2</v>
      </c>
      <c r="C32">
        <f t="shared" si="18"/>
        <v>6.1436498516850811E-2</v>
      </c>
      <c r="D32">
        <f t="shared" si="18"/>
        <v>1.2707883536119154E-2</v>
      </c>
      <c r="E32">
        <f t="shared" si="18"/>
        <v>2.9294041315246748E-6</v>
      </c>
      <c r="F32">
        <f t="shared" si="18"/>
        <v>9.0288453179364135E-31</v>
      </c>
      <c r="G32">
        <f t="shared" si="18"/>
        <v>0</v>
      </c>
      <c r="I32">
        <f t="shared" si="12"/>
        <v>0</v>
      </c>
      <c r="J32">
        <f t="shared" si="13"/>
        <v>0</v>
      </c>
      <c r="K32">
        <f t="shared" si="14"/>
        <v>0</v>
      </c>
      <c r="L32">
        <f t="shared" si="15"/>
        <v>0</v>
      </c>
      <c r="M32">
        <f t="shared" si="16"/>
        <v>0</v>
      </c>
      <c r="N32">
        <f t="shared" si="17"/>
        <v>0</v>
      </c>
      <c r="P32">
        <f t="shared" si="10"/>
        <v>0</v>
      </c>
      <c r="R32">
        <f>S_1($C$1,A32)</f>
        <v>5.7478213798095009E-3</v>
      </c>
      <c r="T32">
        <f t="shared" si="11"/>
        <v>1.0324203316936085E-5</v>
      </c>
    </row>
    <row r="33" spans="1:20" x14ac:dyDescent="0.25">
      <c r="A33">
        <v>-2.4000000000000101</v>
      </c>
      <c r="B33">
        <f t="shared" si="18"/>
        <v>6.6156771892860206E-2</v>
      </c>
      <c r="C33">
        <f t="shared" si="18"/>
        <v>6.7681601438187147E-2</v>
      </c>
      <c r="D33">
        <f t="shared" si="18"/>
        <v>1.6873765385712322E-2</v>
      </c>
      <c r="E33">
        <f t="shared" si="18"/>
        <v>8.0844845268383537E-6</v>
      </c>
      <c r="F33">
        <f t="shared" si="18"/>
        <v>2.2988596795794116E-28</v>
      </c>
      <c r="G33">
        <f t="shared" si="18"/>
        <v>0</v>
      </c>
      <c r="I33">
        <f t="shared" si="12"/>
        <v>0</v>
      </c>
      <c r="J33">
        <f t="shared" si="13"/>
        <v>0</v>
      </c>
      <c r="K33">
        <f t="shared" si="14"/>
        <v>0</v>
      </c>
      <c r="L33">
        <f t="shared" si="15"/>
        <v>0</v>
      </c>
      <c r="M33">
        <f t="shared" si="16"/>
        <v>0</v>
      </c>
      <c r="N33">
        <f t="shared" si="17"/>
        <v>0</v>
      </c>
      <c r="P33">
        <f t="shared" si="10"/>
        <v>0</v>
      </c>
      <c r="R33">
        <f>S_1($C$1,A33)</f>
        <v>7.7587473139095076E-3</v>
      </c>
      <c r="T33">
        <f t="shared" si="11"/>
        <v>1.7337070045756369E-5</v>
      </c>
    </row>
    <row r="34" spans="1:20" x14ac:dyDescent="0.25">
      <c r="A34">
        <v>-2.30000000000001</v>
      </c>
      <c r="B34">
        <f t="shared" si="18"/>
        <v>6.8512761425237961E-2</v>
      </c>
      <c r="C34">
        <f t="shared" si="18"/>
        <v>7.4267483422148589E-2</v>
      </c>
      <c r="D34">
        <f t="shared" si="18"/>
        <v>2.2147500187143978E-2</v>
      </c>
      <c r="E34">
        <f t="shared" si="18"/>
        <v>2.1405755495736666E-5</v>
      </c>
      <c r="F34">
        <f t="shared" si="18"/>
        <v>4.6686736787729046E-26</v>
      </c>
      <c r="G34">
        <f t="shared" si="18"/>
        <v>0</v>
      </c>
      <c r="I34">
        <f t="shared" si="12"/>
        <v>0</v>
      </c>
      <c r="J34">
        <f t="shared" si="13"/>
        <v>0</v>
      </c>
      <c r="K34">
        <f t="shared" si="14"/>
        <v>0</v>
      </c>
      <c r="L34">
        <f t="shared" si="15"/>
        <v>0</v>
      </c>
      <c r="M34">
        <f t="shared" si="16"/>
        <v>0</v>
      </c>
      <c r="N34">
        <f t="shared" si="17"/>
        <v>0</v>
      </c>
      <c r="P34">
        <f t="shared" si="10"/>
        <v>0</v>
      </c>
      <c r="R34">
        <f>S_1($C$1,A34)</f>
        <v>1.0473213397437403E-2</v>
      </c>
      <c r="T34">
        <f t="shared" si="11"/>
        <v>2.9012528600655637E-5</v>
      </c>
    </row>
    <row r="35" spans="1:20" x14ac:dyDescent="0.25">
      <c r="A35">
        <v>-2.2000000000000099</v>
      </c>
      <c r="B35">
        <f t="shared" si="18"/>
        <v>7.0847079266034799E-2</v>
      </c>
      <c r="C35">
        <f t="shared" si="18"/>
        <v>8.1172832570461526E-2</v>
      </c>
      <c r="D35">
        <f t="shared" si="18"/>
        <v>2.873500976398911E-2</v>
      </c>
      <c r="E35">
        <f t="shared" si="18"/>
        <v>5.4376840345282329E-5</v>
      </c>
      <c r="F35">
        <f t="shared" si="18"/>
        <v>7.5626740390974715E-24</v>
      </c>
      <c r="G35">
        <f t="shared" si="18"/>
        <v>0</v>
      </c>
      <c r="I35">
        <f t="shared" si="12"/>
        <v>0</v>
      </c>
      <c r="J35">
        <f t="shared" si="13"/>
        <v>0</v>
      </c>
      <c r="K35">
        <f t="shared" si="14"/>
        <v>0</v>
      </c>
      <c r="L35">
        <f t="shared" si="15"/>
        <v>0</v>
      </c>
      <c r="M35">
        <f t="shared" si="16"/>
        <v>0</v>
      </c>
      <c r="N35">
        <f t="shared" si="17"/>
        <v>0</v>
      </c>
      <c r="P35">
        <f t="shared" si="10"/>
        <v>0</v>
      </c>
      <c r="R35">
        <f>S_1($C$1,A35)</f>
        <v>1.4137359348153885E-2</v>
      </c>
      <c r="T35">
        <f t="shared" si="11"/>
        <v>4.8367312899998276E-5</v>
      </c>
    </row>
    <row r="36" spans="1:20" x14ac:dyDescent="0.25">
      <c r="A36">
        <v>-2.1000000000000099</v>
      </c>
      <c r="B36">
        <f t="shared" si="18"/>
        <v>7.3151922014387125E-2</v>
      </c>
      <c r="C36">
        <f t="shared" si="18"/>
        <v>8.8370356255524279E-2</v>
      </c>
      <c r="D36">
        <f t="shared" si="18"/>
        <v>3.6852920593151921E-2</v>
      </c>
      <c r="E36">
        <f t="shared" si="18"/>
        <v>1.3252644816063227E-4</v>
      </c>
      <c r="F36">
        <f t="shared" si="18"/>
        <v>9.7714283268035374E-22</v>
      </c>
      <c r="G36">
        <f t="shared" si="18"/>
        <v>0</v>
      </c>
      <c r="I36">
        <f t="shared" si="12"/>
        <v>0</v>
      </c>
      <c r="J36">
        <f t="shared" si="13"/>
        <v>0</v>
      </c>
      <c r="K36">
        <f t="shared" si="14"/>
        <v>0</v>
      </c>
      <c r="L36">
        <f t="shared" si="15"/>
        <v>0</v>
      </c>
      <c r="M36">
        <f t="shared" si="16"/>
        <v>0</v>
      </c>
      <c r="N36">
        <f t="shared" si="17"/>
        <v>0</v>
      </c>
      <c r="P36">
        <f t="shared" si="10"/>
        <v>0</v>
      </c>
      <c r="R36">
        <f>S_1($C$1,A36)</f>
        <v>1.9083439031972477E-2</v>
      </c>
      <c r="T36">
        <f t="shared" si="11"/>
        <v>8.0301170785786598E-5</v>
      </c>
    </row>
    <row r="37" spans="1:20" x14ac:dyDescent="0.25">
      <c r="A37">
        <v>-2.0000000000000102</v>
      </c>
      <c r="B37">
        <f t="shared" si="18"/>
        <v>7.5419360234860483E-2</v>
      </c>
      <c r="C37">
        <f t="shared" si="18"/>
        <v>9.5826675578321627E-2</v>
      </c>
      <c r="D37">
        <f t="shared" si="18"/>
        <v>4.6720383723867068E-2</v>
      </c>
      <c r="E37">
        <f t="shared" si="18"/>
        <v>3.09881985873238E-4</v>
      </c>
      <c r="F37">
        <f t="shared" si="18"/>
        <v>1.0070279525125951E-19</v>
      </c>
      <c r="G37">
        <f t="shared" si="18"/>
        <v>0</v>
      </c>
      <c r="I37">
        <f t="shared" si="12"/>
        <v>0</v>
      </c>
      <c r="J37">
        <f t="shared" si="13"/>
        <v>0</v>
      </c>
      <c r="K37">
        <f t="shared" si="14"/>
        <v>0</v>
      </c>
      <c r="L37">
        <f t="shared" si="15"/>
        <v>0</v>
      </c>
      <c r="M37">
        <f t="shared" si="16"/>
        <v>0</v>
      </c>
      <c r="N37">
        <f t="shared" si="17"/>
        <v>0</v>
      </c>
      <c r="P37">
        <f t="shared" si="10"/>
        <v>0</v>
      </c>
      <c r="R37">
        <f>S_1($C$1,A37)</f>
        <v>2.5759948256147691E-2</v>
      </c>
      <c r="T37">
        <f t="shared" si="11"/>
        <v>1.3271498683188268E-4</v>
      </c>
    </row>
    <row r="38" spans="1:20" x14ac:dyDescent="0.25">
      <c r="A38">
        <v>-1.9000000000000099</v>
      </c>
      <c r="B38">
        <f t="shared" si="18"/>
        <v>7.7641382298923714E-2</v>
      </c>
      <c r="C38">
        <f t="shared" si="18"/>
        <v>0.10350233542356929</v>
      </c>
      <c r="D38">
        <f t="shared" si="18"/>
        <v>5.8548371261787892E-2</v>
      </c>
      <c r="E38">
        <f t="shared" si="18"/>
        <v>6.9517682263764088E-4</v>
      </c>
      <c r="F38">
        <f t="shared" si="18"/>
        <v>8.2780073279850697E-18</v>
      </c>
      <c r="G38">
        <f t="shared" si="18"/>
        <v>0</v>
      </c>
      <c r="I38">
        <f t="shared" si="12"/>
        <v>0</v>
      </c>
      <c r="J38">
        <f t="shared" si="13"/>
        <v>0</v>
      </c>
      <c r="K38">
        <f t="shared" si="14"/>
        <v>0</v>
      </c>
      <c r="L38">
        <f t="shared" si="15"/>
        <v>0</v>
      </c>
      <c r="M38">
        <f t="shared" si="16"/>
        <v>0</v>
      </c>
      <c r="N38">
        <f t="shared" si="17"/>
        <v>0</v>
      </c>
      <c r="P38">
        <f t="shared" si="10"/>
        <v>0</v>
      </c>
      <c r="R38">
        <f>S_1($C$1,A38)</f>
        <v>3.4772293036263092E-2</v>
      </c>
      <c r="T38">
        <f t="shared" si="11"/>
        <v>2.1824478152145728E-4</v>
      </c>
    </row>
    <row r="39" spans="1:20" x14ac:dyDescent="0.25">
      <c r="A39">
        <v>-1.80000000000001</v>
      </c>
      <c r="B39">
        <f t="shared" si="18"/>
        <v>7.9809940238898425E-2</v>
      </c>
      <c r="C39">
        <f t="shared" si="18"/>
        <v>0.11135194009316134</v>
      </c>
      <c r="D39">
        <f t="shared" si="18"/>
        <v>7.2526573936242025E-2</v>
      </c>
      <c r="E39">
        <f t="shared" si="18"/>
        <v>1.4962336571406501E-3</v>
      </c>
      <c r="F39">
        <f t="shared" si="18"/>
        <v>5.4276382391213455E-16</v>
      </c>
      <c r="G39">
        <f t="shared" si="18"/>
        <v>0</v>
      </c>
      <c r="I39">
        <f t="shared" si="12"/>
        <v>0</v>
      </c>
      <c r="J39">
        <f t="shared" si="13"/>
        <v>0</v>
      </c>
      <c r="K39">
        <f t="shared" si="14"/>
        <v>0</v>
      </c>
      <c r="L39">
        <f t="shared" si="15"/>
        <v>0</v>
      </c>
      <c r="M39">
        <f t="shared" si="16"/>
        <v>0</v>
      </c>
      <c r="N39">
        <f t="shared" si="17"/>
        <v>0</v>
      </c>
      <c r="P39">
        <f t="shared" si="10"/>
        <v>0</v>
      </c>
      <c r="R39">
        <f>S_1($C$1,A39)</f>
        <v>4.69376860146134E-2</v>
      </c>
      <c r="T39">
        <f t="shared" si="11"/>
        <v>3.5690971168184636E-4</v>
      </c>
    </row>
    <row r="40" spans="1:20" x14ac:dyDescent="0.25">
      <c r="A40">
        <v>-1.7000000000000099</v>
      </c>
      <c r="B40">
        <f t="shared" si="18"/>
        <v>8.1916997261400643E-2</v>
      </c>
      <c r="C40">
        <f t="shared" si="18"/>
        <v>0.11932442175696401</v>
      </c>
      <c r="D40">
        <f t="shared" si="18"/>
        <v>8.8808274925447336E-2</v>
      </c>
      <c r="E40">
        <f t="shared" si="18"/>
        <v>3.0896461051853411E-3</v>
      </c>
      <c r="F40">
        <f t="shared" si="18"/>
        <v>2.8385515560231792E-14</v>
      </c>
      <c r="G40">
        <f t="shared" si="18"/>
        <v>0</v>
      </c>
      <c r="I40">
        <f t="shared" si="12"/>
        <v>0</v>
      </c>
      <c r="J40">
        <f t="shared" si="13"/>
        <v>0</v>
      </c>
      <c r="K40">
        <f t="shared" si="14"/>
        <v>0</v>
      </c>
      <c r="L40">
        <f t="shared" si="15"/>
        <v>0</v>
      </c>
      <c r="M40">
        <f t="shared" si="16"/>
        <v>0</v>
      </c>
      <c r="N40">
        <f t="shared" si="17"/>
        <v>0</v>
      </c>
      <c r="P40">
        <f t="shared" si="10"/>
        <v>0</v>
      </c>
      <c r="R40">
        <f>S_1($C$1,A40)</f>
        <v>6.3359248874062926E-2</v>
      </c>
      <c r="T40">
        <f t="shared" si="11"/>
        <v>5.8007999338445353E-4</v>
      </c>
    </row>
    <row r="41" spans="1:20" x14ac:dyDescent="0.25">
      <c r="A41">
        <v>-1.6000000000000101</v>
      </c>
      <c r="B41">
        <f t="shared" si="18"/>
        <v>8.3954576539104681E-2</v>
      </c>
      <c r="C41">
        <f t="shared" si="18"/>
        <v>0.12736344575023295</v>
      </c>
      <c r="D41">
        <f t="shared" si="18"/>
        <v>0.1074938537757294</v>
      </c>
      <c r="E41">
        <f t="shared" si="18"/>
        <v>6.1210120792884268E-3</v>
      </c>
      <c r="F41">
        <f t="shared" si="18"/>
        <v>1.184086653188157E-12</v>
      </c>
      <c r="G41">
        <f t="shared" si="18"/>
        <v>0</v>
      </c>
      <c r="I41">
        <f t="shared" si="12"/>
        <v>0</v>
      </c>
      <c r="J41">
        <f t="shared" si="13"/>
        <v>0</v>
      </c>
      <c r="K41">
        <f t="shared" si="14"/>
        <v>0</v>
      </c>
      <c r="L41">
        <f t="shared" si="15"/>
        <v>0</v>
      </c>
      <c r="M41">
        <f t="shared" si="16"/>
        <v>0</v>
      </c>
      <c r="N41">
        <f t="shared" si="17"/>
        <v>0</v>
      </c>
      <c r="P41">
        <f t="shared" si="10"/>
        <v>0</v>
      </c>
      <c r="R41">
        <f>S_1($C$1,A41)</f>
        <v>8.5526040134053793E-2</v>
      </c>
      <c r="T41">
        <f t="shared" si="11"/>
        <v>9.362820532495199E-4</v>
      </c>
    </row>
    <row r="42" spans="1:20" x14ac:dyDescent="0.25">
      <c r="A42">
        <v>-1.50000000000001</v>
      </c>
      <c r="B42">
        <f t="shared" si="18"/>
        <v>8.5914810875241832E-2</v>
      </c>
      <c r="C42">
        <f t="shared" si="18"/>
        <v>0.13540795314911516</v>
      </c>
      <c r="D42">
        <f t="shared" si="18"/>
        <v>0.12861385610404022</v>
      </c>
      <c r="E42">
        <f t="shared" si="18"/>
        <v>1.1634371244488705E-2</v>
      </c>
      <c r="F42">
        <f t="shared" si="18"/>
        <v>3.9397711095681685E-11</v>
      </c>
      <c r="G42">
        <f t="shared" si="18"/>
        <v>0</v>
      </c>
      <c r="I42">
        <f t="shared" si="12"/>
        <v>0</v>
      </c>
      <c r="J42">
        <f t="shared" si="13"/>
        <v>0</v>
      </c>
      <c r="K42">
        <f t="shared" si="14"/>
        <v>0</v>
      </c>
      <c r="L42">
        <f t="shared" si="15"/>
        <v>0</v>
      </c>
      <c r="M42">
        <f t="shared" si="16"/>
        <v>0</v>
      </c>
      <c r="N42">
        <f t="shared" si="17"/>
        <v>0</v>
      </c>
      <c r="P42">
        <f t="shared" si="10"/>
        <v>0</v>
      </c>
      <c r="R42">
        <f>S_1($C$1,A42)</f>
        <v>0.11544807855205122</v>
      </c>
      <c r="T42">
        <f t="shared" si="11"/>
        <v>1.4994291196530865E-3</v>
      </c>
    </row>
    <row r="43" spans="1:20" x14ac:dyDescent="0.25">
      <c r="A43">
        <v>-1.4000000000000099</v>
      </c>
      <c r="B43">
        <f t="shared" si="18"/>
        <v>8.7789992815035744E-2</v>
      </c>
      <c r="C43">
        <f t="shared" si="18"/>
        <v>0.14339283717169271</v>
      </c>
      <c r="D43">
        <f t="shared" si="18"/>
        <v>0.15211281838564322</v>
      </c>
      <c r="E43">
        <f t="shared" si="18"/>
        <v>2.1216208793645688E-2</v>
      </c>
      <c r="F43">
        <f t="shared" si="18"/>
        <v>1.045584899855123E-9</v>
      </c>
      <c r="G43">
        <f t="shared" si="18"/>
        <v>0</v>
      </c>
      <c r="I43">
        <f t="shared" si="12"/>
        <v>0</v>
      </c>
      <c r="J43">
        <f t="shared" si="13"/>
        <v>0</v>
      </c>
      <c r="K43">
        <f t="shared" si="14"/>
        <v>0</v>
      </c>
      <c r="L43">
        <f t="shared" si="15"/>
        <v>0</v>
      </c>
      <c r="M43">
        <f t="shared" si="16"/>
        <v>0</v>
      </c>
      <c r="N43">
        <f t="shared" si="17"/>
        <v>0</v>
      </c>
      <c r="P43">
        <f t="shared" si="10"/>
        <v>0</v>
      </c>
      <c r="R43">
        <f>S_1($C$1,A43)</f>
        <v>0.15583860565121271</v>
      </c>
      <c r="T43">
        <f t="shared" si="11"/>
        <v>2.3799957591088242E-3</v>
      </c>
    </row>
    <row r="44" spans="1:20" x14ac:dyDescent="0.25">
      <c r="A44">
        <v>-1.30000000000001</v>
      </c>
      <c r="B44">
        <f t="shared" si="18"/>
        <v>8.9572624762660175E-2</v>
      </c>
      <c r="C44">
        <f t="shared" si="18"/>
        <v>0.1512497459030617</v>
      </c>
      <c r="D44">
        <f t="shared" si="18"/>
        <v>0.1778352272115567</v>
      </c>
      <c r="E44">
        <f t="shared" si="18"/>
        <v>3.71191331603654E-2</v>
      </c>
      <c r="F44">
        <f t="shared" si="18"/>
        <v>2.213341464696177E-8</v>
      </c>
      <c r="G44">
        <f t="shared" si="18"/>
        <v>0</v>
      </c>
      <c r="I44">
        <f t="shared" si="12"/>
        <v>0</v>
      </c>
      <c r="J44">
        <f t="shared" si="13"/>
        <v>0</v>
      </c>
      <c r="K44">
        <f t="shared" si="14"/>
        <v>0</v>
      </c>
      <c r="L44">
        <f t="shared" si="15"/>
        <v>0</v>
      </c>
      <c r="M44">
        <f t="shared" si="16"/>
        <v>0</v>
      </c>
      <c r="N44">
        <f t="shared" si="17"/>
        <v>0</v>
      </c>
      <c r="P44">
        <f t="shared" si="10"/>
        <v>0</v>
      </c>
      <c r="R44">
        <f>S_1($C$1,A44)</f>
        <v>0.21036011439865285</v>
      </c>
      <c r="T44">
        <f t="shared" si="11"/>
        <v>3.7392414181693675E-3</v>
      </c>
    </row>
    <row r="45" spans="1:20" x14ac:dyDescent="0.25">
      <c r="A45">
        <v>-1.2000000000000099</v>
      </c>
      <c r="B45">
        <f t="shared" si="18"/>
        <v>9.1255468651613617E-2</v>
      </c>
      <c r="C45">
        <f t="shared" si="18"/>
        <v>0.15890799976557815</v>
      </c>
      <c r="D45">
        <f t="shared" si="18"/>
        <v>0.20551508380508282</v>
      </c>
      <c r="E45">
        <f t="shared" si="18"/>
        <v>6.2306456451827939E-2</v>
      </c>
      <c r="F45">
        <f t="shared" si="18"/>
        <v>3.7371311901534523E-7</v>
      </c>
      <c r="G45">
        <f t="shared" si="18"/>
        <v>0</v>
      </c>
      <c r="I45">
        <f t="shared" si="12"/>
        <v>0</v>
      </c>
      <c r="J45">
        <f t="shared" si="13"/>
        <v>0</v>
      </c>
      <c r="K45">
        <f t="shared" si="14"/>
        <v>0</v>
      </c>
      <c r="L45">
        <f t="shared" si="15"/>
        <v>0</v>
      </c>
      <c r="M45">
        <f t="shared" si="16"/>
        <v>0</v>
      </c>
      <c r="N45">
        <f t="shared" si="17"/>
        <v>0</v>
      </c>
      <c r="P45">
        <f t="shared" si="10"/>
        <v>0</v>
      </c>
      <c r="R45">
        <f>S_1($C$1,A45)</f>
        <v>0.28395645318371721</v>
      </c>
      <c r="T45">
        <f t="shared" si="11"/>
        <v>5.8054512459368105E-3</v>
      </c>
    </row>
    <row r="46" spans="1:20" x14ac:dyDescent="0.25">
      <c r="A46">
        <v>-1.1000000000000101</v>
      </c>
      <c r="B46">
        <f t="shared" si="18"/>
        <v>9.2831594710900328E-2</v>
      </c>
      <c r="C46">
        <f t="shared" si="18"/>
        <v>0.16629560819654129</v>
      </c>
      <c r="D46">
        <f t="shared" si="18"/>
        <v>0.23477050716867101</v>
      </c>
      <c r="E46">
        <f t="shared" si="18"/>
        <v>0.1003398531252636</v>
      </c>
      <c r="F46">
        <f t="shared" si="18"/>
        <v>5.0330248371096282E-6</v>
      </c>
      <c r="G46">
        <f t="shared" si="18"/>
        <v>0</v>
      </c>
      <c r="I46">
        <f t="shared" si="12"/>
        <v>0</v>
      </c>
      <c r="J46">
        <f t="shared" si="13"/>
        <v>0</v>
      </c>
      <c r="K46">
        <f t="shared" si="14"/>
        <v>0</v>
      </c>
      <c r="L46">
        <f t="shared" si="15"/>
        <v>0</v>
      </c>
      <c r="M46">
        <f t="shared" si="16"/>
        <v>0</v>
      </c>
      <c r="N46">
        <f t="shared" si="17"/>
        <v>0</v>
      </c>
      <c r="P46">
        <f t="shared" si="10"/>
        <v>0</v>
      </c>
      <c r="R46">
        <f>S_1($C$1,A46)</f>
        <v>0.38330111929808353</v>
      </c>
      <c r="T46">
        <f t="shared" si="11"/>
        <v>8.8886447573375653E-3</v>
      </c>
    </row>
    <row r="47" spans="1:20" x14ac:dyDescent="0.25">
      <c r="A47">
        <v>-1.00000000000001</v>
      </c>
      <c r="B47">
        <f t="shared" si="18"/>
        <v>9.4294428869282243E-2</v>
      </c>
      <c r="C47">
        <f t="shared" si="18"/>
        <v>0.17334036630656321</v>
      </c>
      <c r="D47">
        <f t="shared" si="18"/>
        <v>0.26510462297578369</v>
      </c>
      <c r="E47">
        <f t="shared" si="18"/>
        <v>0.15503117958221369</v>
      </c>
      <c r="F47">
        <f t="shared" si="18"/>
        <v>5.4065548018402411E-5</v>
      </c>
      <c r="G47">
        <f t="shared" si="18"/>
        <v>0</v>
      </c>
      <c r="I47">
        <f t="shared" si="12"/>
        <v>0</v>
      </c>
      <c r="J47">
        <f t="shared" si="13"/>
        <v>0</v>
      </c>
      <c r="K47">
        <f t="shared" si="14"/>
        <v>0</v>
      </c>
      <c r="L47">
        <f t="shared" si="15"/>
        <v>0</v>
      </c>
      <c r="M47">
        <f t="shared" si="16"/>
        <v>0</v>
      </c>
      <c r="N47">
        <f t="shared" si="17"/>
        <v>0</v>
      </c>
      <c r="P47">
        <f t="shared" si="10"/>
        <v>0</v>
      </c>
      <c r="R47">
        <f>S_1($C$1,A47)</f>
        <v>0.51740239183825831</v>
      </c>
      <c r="T47">
        <f t="shared" si="11"/>
        <v>1.3385261753997797E-2</v>
      </c>
    </row>
    <row r="48" spans="1:20" x14ac:dyDescent="0.25">
      <c r="A48">
        <v>-0.90000000000001001</v>
      </c>
      <c r="B48">
        <f t="shared" si="18"/>
        <v>9.5637798345234643E-2</v>
      </c>
      <c r="C48">
        <f t="shared" si="18"/>
        <v>0.17997100902203175</v>
      </c>
      <c r="D48">
        <f t="shared" si="18"/>
        <v>0.29591364495831057</v>
      </c>
      <c r="E48">
        <f t="shared" si="18"/>
        <v>0.22981047679090633</v>
      </c>
      <c r="F48">
        <f t="shared" si="18"/>
        <v>4.6324735830982725E-4</v>
      </c>
      <c r="G48">
        <f t="shared" si="18"/>
        <v>0</v>
      </c>
      <c r="I48">
        <f t="shared" si="12"/>
        <v>0</v>
      </c>
      <c r="J48">
        <f t="shared" si="13"/>
        <v>0</v>
      </c>
      <c r="K48">
        <f t="shared" si="14"/>
        <v>0</v>
      </c>
      <c r="L48">
        <f t="shared" si="15"/>
        <v>0</v>
      </c>
      <c r="M48">
        <f t="shared" si="16"/>
        <v>0</v>
      </c>
      <c r="N48">
        <f t="shared" si="17"/>
        <v>0</v>
      </c>
      <c r="P48">
        <f t="shared" si="10"/>
        <v>0</v>
      </c>
      <c r="R48">
        <f>S_1($C$1,A48)</f>
        <v>0.69842017568376347</v>
      </c>
      <c r="T48">
        <f t="shared" si="11"/>
        <v>1.9755525042987072E-2</v>
      </c>
    </row>
    <row r="49" spans="1:20" x14ac:dyDescent="0.25">
      <c r="A49">
        <v>-0.80000000000001004</v>
      </c>
      <c r="B49">
        <f t="shared" si="18"/>
        <v>9.685597498113456E-2</v>
      </c>
      <c r="C49">
        <f t="shared" si="18"/>
        <v>0.1861183975050138</v>
      </c>
      <c r="D49">
        <f t="shared" si="18"/>
        <v>0.32650257382188008</v>
      </c>
      <c r="E49">
        <f t="shared" si="18"/>
        <v>0.32683290789995922</v>
      </c>
      <c r="F49">
        <f t="shared" si="18"/>
        <v>3.1659649278574951E-3</v>
      </c>
      <c r="G49">
        <f t="shared" si="18"/>
        <v>0</v>
      </c>
      <c r="I49">
        <f t="shared" si="12"/>
        <v>0</v>
      </c>
      <c r="J49">
        <f t="shared" si="13"/>
        <v>0</v>
      </c>
      <c r="K49">
        <f t="shared" si="14"/>
        <v>0</v>
      </c>
      <c r="L49">
        <f t="shared" si="15"/>
        <v>0</v>
      </c>
      <c r="M49">
        <f t="shared" si="16"/>
        <v>0</v>
      </c>
      <c r="N49">
        <f t="shared" si="17"/>
        <v>0</v>
      </c>
      <c r="P49">
        <f t="shared" si="10"/>
        <v>0</v>
      </c>
      <c r="R49">
        <f>S_1($C$1,A49)</f>
        <v>0.94276862553550744</v>
      </c>
      <c r="T49">
        <f t="shared" si="11"/>
        <v>2.8442005801412231E-2</v>
      </c>
    </row>
    <row r="50" spans="1:20" x14ac:dyDescent="0.25">
      <c r="A50">
        <v>-0.70000000000002005</v>
      </c>
      <c r="B50">
        <f t="shared" si="18"/>
        <v>9.7943715896589401E-2</v>
      </c>
      <c r="C50">
        <f t="shared" si="18"/>
        <v>0.19171671061884335</v>
      </c>
      <c r="D50">
        <f t="shared" si="18"/>
        <v>0.35610834760538534</v>
      </c>
      <c r="E50">
        <f t="shared" si="18"/>
        <v>0.44595076577362819</v>
      </c>
      <c r="F50">
        <f t="shared" si="18"/>
        <v>1.7258381053350376E-2</v>
      </c>
      <c r="G50">
        <f t="shared" si="18"/>
        <v>0</v>
      </c>
      <c r="I50">
        <f t="shared" si="12"/>
        <v>0</v>
      </c>
      <c r="J50">
        <f t="shared" si="13"/>
        <v>0</v>
      </c>
      <c r="K50">
        <f t="shared" si="14"/>
        <v>0</v>
      </c>
      <c r="L50">
        <f t="shared" si="15"/>
        <v>0</v>
      </c>
      <c r="M50">
        <f t="shared" si="16"/>
        <v>0</v>
      </c>
      <c r="N50">
        <f t="shared" si="17"/>
        <v>0</v>
      </c>
      <c r="P50">
        <f t="shared" si="10"/>
        <v>0</v>
      </c>
      <c r="R50">
        <f>S_1($C$1,A50)</f>
        <v>1.2726045326853892</v>
      </c>
      <c r="T50">
        <f t="shared" si="11"/>
        <v>3.9678296266981522E-2</v>
      </c>
    </row>
    <row r="51" spans="1:20" x14ac:dyDescent="0.25">
      <c r="A51">
        <v>-0.60000000000001996</v>
      </c>
      <c r="B51">
        <f t="shared" si="18"/>
        <v>9.8896301057542033E-2</v>
      </c>
      <c r="C51">
        <f t="shared" si="18"/>
        <v>0.19670461297097955</v>
      </c>
      <c r="D51">
        <f t="shared" si="18"/>
        <v>0.38392962660907565</v>
      </c>
      <c r="E51">
        <f t="shared" si="18"/>
        <v>0.5837854033519615</v>
      </c>
      <c r="F51">
        <f t="shared" si="18"/>
        <v>7.5040343605481591E-2</v>
      </c>
      <c r="G51">
        <f t="shared" si="18"/>
        <v>0</v>
      </c>
      <c r="I51">
        <f t="shared" si="12"/>
        <v>0</v>
      </c>
      <c r="J51">
        <f t="shared" si="13"/>
        <v>0</v>
      </c>
      <c r="K51">
        <f t="shared" si="14"/>
        <v>0</v>
      </c>
      <c r="L51">
        <f t="shared" si="15"/>
        <v>0</v>
      </c>
      <c r="M51">
        <f t="shared" si="16"/>
        <v>0</v>
      </c>
      <c r="N51">
        <f t="shared" si="17"/>
        <v>0</v>
      </c>
      <c r="P51">
        <f t="shared" si="10"/>
        <v>0</v>
      </c>
      <c r="R51">
        <f>S_1($C$1,A51)</f>
        <v>1.7178364370065164</v>
      </c>
      <c r="T51">
        <f t="shared" si="11"/>
        <v>5.3117316437533917E-2</v>
      </c>
    </row>
    <row r="52" spans="1:20" x14ac:dyDescent="0.25">
      <c r="A52">
        <v>-0.50000000000001998</v>
      </c>
      <c r="B52">
        <f t="shared" si="18"/>
        <v>9.9709567384653183E-2</v>
      </c>
      <c r="C52">
        <f t="shared" si="18"/>
        <v>0.20102637069274515</v>
      </c>
      <c r="D52">
        <f t="shared" si="18"/>
        <v>0.40916174882115058</v>
      </c>
      <c r="E52">
        <f t="shared" si="18"/>
        <v>0.73320384147871476</v>
      </c>
      <c r="F52">
        <f t="shared" si="18"/>
        <v>0.26024978559488487</v>
      </c>
      <c r="G52">
        <f t="shared" si="18"/>
        <v>0</v>
      </c>
      <c r="I52">
        <f t="shared" si="12"/>
        <v>0</v>
      </c>
      <c r="J52">
        <f t="shared" si="13"/>
        <v>0</v>
      </c>
      <c r="K52">
        <f t="shared" si="14"/>
        <v>0</v>
      </c>
      <c r="L52">
        <f t="shared" si="15"/>
        <v>0</v>
      </c>
      <c r="M52">
        <f t="shared" si="16"/>
        <v>0</v>
      </c>
      <c r="N52">
        <f t="shared" si="17"/>
        <v>0</v>
      </c>
      <c r="P52">
        <f t="shared" si="10"/>
        <v>0</v>
      </c>
      <c r="R52">
        <f>S_1($C$1,A52)</f>
        <v>2.3188366444682256</v>
      </c>
      <c r="T52">
        <f t="shared" si="11"/>
        <v>6.7212542296613623E-2</v>
      </c>
    </row>
    <row r="53" spans="1:20" x14ac:dyDescent="0.25">
      <c r="A53">
        <v>-0.40000000000002001</v>
      </c>
      <c r="B53">
        <f t="shared" si="18"/>
        <v>0.1003799390561786</v>
      </c>
      <c r="C53">
        <f t="shared" si="18"/>
        <v>0.20463288665290477</v>
      </c>
      <c r="D53">
        <f t="shared" si="18"/>
        <v>0.43103481829756224</v>
      </c>
      <c r="E53">
        <f t="shared" si="18"/>
        <v>0.88348954253600953</v>
      </c>
      <c r="F53">
        <f t="shared" si="18"/>
        <v>0.71992416757580524</v>
      </c>
      <c r="G53">
        <f t="shared" si="18"/>
        <v>0</v>
      </c>
      <c r="I53">
        <f t="shared" si="12"/>
        <v>0</v>
      </c>
      <c r="J53">
        <f t="shared" si="13"/>
        <v>0</v>
      </c>
      <c r="K53">
        <f t="shared" si="14"/>
        <v>0</v>
      </c>
      <c r="L53">
        <f t="shared" si="15"/>
        <v>0</v>
      </c>
      <c r="M53">
        <f t="shared" si="16"/>
        <v>0</v>
      </c>
      <c r="N53">
        <f t="shared" si="17"/>
        <v>0</v>
      </c>
      <c r="P53">
        <f t="shared" si="10"/>
        <v>0</v>
      </c>
      <c r="R53">
        <f>S_1($C$1,A53)</f>
        <v>3.130102067865419</v>
      </c>
      <c r="T53">
        <f t="shared" si="11"/>
        <v>7.8380311642050837E-2</v>
      </c>
    </row>
    <row r="54" spans="1:20" x14ac:dyDescent="0.25">
      <c r="A54">
        <v>-0.30000000000001997</v>
      </c>
      <c r="B54">
        <f t="shared" si="18"/>
        <v>0.10090445369674433</v>
      </c>
      <c r="C54">
        <f t="shared" si="18"/>
        <v>0.20748262825846422</v>
      </c>
      <c r="D54">
        <f t="shared" si="18"/>
        <v>0.44885245770791388</v>
      </c>
      <c r="E54">
        <f t="shared" si="18"/>
        <v>1.0213704217781669</v>
      </c>
      <c r="F54">
        <f t="shared" si="18"/>
        <v>1.5884879750089496</v>
      </c>
      <c r="G54">
        <f t="shared" si="18"/>
        <v>0</v>
      </c>
      <c r="I54">
        <f t="shared" si="12"/>
        <v>0</v>
      </c>
      <c r="J54">
        <f t="shared" si="13"/>
        <v>0</v>
      </c>
      <c r="K54">
        <f t="shared" si="14"/>
        <v>0</v>
      </c>
      <c r="L54">
        <f t="shared" si="15"/>
        <v>0</v>
      </c>
      <c r="M54">
        <f t="shared" si="16"/>
        <v>0</v>
      </c>
      <c r="N54">
        <f t="shared" si="17"/>
        <v>0</v>
      </c>
      <c r="P54">
        <f t="shared" si="10"/>
        <v>0</v>
      </c>
      <c r="R54">
        <f>S_1($C$1,A54)</f>
        <v>4.2251958449199973</v>
      </c>
      <c r="T54">
        <f t="shared" si="11"/>
        <v>8.0335259675692161E-2</v>
      </c>
    </row>
    <row r="55" spans="1:20" x14ac:dyDescent="0.25">
      <c r="A55">
        <v>-0.20000000000002</v>
      </c>
      <c r="B55">
        <f t="shared" si="18"/>
        <v>0.10128078418365356</v>
      </c>
      <c r="C55">
        <f t="shared" si="18"/>
        <v>0.20954242334515377</v>
      </c>
      <c r="D55">
        <f t="shared" si="18"/>
        <v>0.46202852507113773</v>
      </c>
      <c r="E55">
        <f t="shared" si="18"/>
        <v>1.1328445565567418</v>
      </c>
      <c r="F55">
        <f t="shared" si="18"/>
        <v>2.7956443163394336</v>
      </c>
      <c r="G55">
        <f t="shared" si="18"/>
        <v>0</v>
      </c>
      <c r="I55">
        <f t="shared" si="12"/>
        <v>0</v>
      </c>
      <c r="J55">
        <f t="shared" si="13"/>
        <v>0</v>
      </c>
      <c r="K55">
        <f t="shared" si="14"/>
        <v>0</v>
      </c>
      <c r="L55">
        <f t="shared" si="15"/>
        <v>0</v>
      </c>
      <c r="M55">
        <f t="shared" si="16"/>
        <v>0</v>
      </c>
      <c r="N55">
        <f t="shared" si="17"/>
        <v>0</v>
      </c>
      <c r="P55">
        <f t="shared" si="10"/>
        <v>0</v>
      </c>
      <c r="R55">
        <f>S_1($C$1,A55)</f>
        <v>5.7034178249987901</v>
      </c>
      <c r="T55">
        <f t="shared" si="11"/>
        <v>6.5057949773040885E-2</v>
      </c>
    </row>
    <row r="56" spans="1:20" x14ac:dyDescent="0.25">
      <c r="A56">
        <v>-0.10000000000002</v>
      </c>
      <c r="B56">
        <f t="shared" si="18"/>
        <v>0.10150725584611907</v>
      </c>
      <c r="C56">
        <f t="shared" si="18"/>
        <v>0.21078810283909122</v>
      </c>
      <c r="D56">
        <f t="shared" si="18"/>
        <v>0.47011910230169313</v>
      </c>
      <c r="E56">
        <f t="shared" si="18"/>
        <v>1.2054870501826684</v>
      </c>
      <c r="F56">
        <f t="shared" si="18"/>
        <v>3.9244672308959809</v>
      </c>
      <c r="G56">
        <f t="shared" si="18"/>
        <v>0</v>
      </c>
      <c r="I56">
        <f t="shared" si="12"/>
        <v>0</v>
      </c>
      <c r="J56">
        <f t="shared" si="13"/>
        <v>0</v>
      </c>
      <c r="K56">
        <f t="shared" si="14"/>
        <v>0</v>
      </c>
      <c r="L56">
        <f t="shared" si="15"/>
        <v>0</v>
      </c>
      <c r="M56">
        <f t="shared" si="16"/>
        <v>0</v>
      </c>
      <c r="N56">
        <f t="shared" si="17"/>
        <v>0</v>
      </c>
      <c r="P56">
        <f t="shared" si="10"/>
        <v>0</v>
      </c>
      <c r="R56">
        <f>S_1($C$1,A56)</f>
        <v>7.6988087843605877</v>
      </c>
      <c r="T56">
        <f t="shared" si="11"/>
        <v>2.9635828349085732E-2</v>
      </c>
    </row>
    <row r="57" spans="1:20" x14ac:dyDescent="0.25">
      <c r="A57">
        <v>-2.0428103653102899E-14</v>
      </c>
      <c r="B57">
        <f t="shared" si="18"/>
        <v>0.10158285887954992</v>
      </c>
      <c r="C57">
        <f t="shared" si="18"/>
        <v>0.21120497278317235</v>
      </c>
      <c r="D57">
        <f t="shared" si="18"/>
        <v>0.47284732286916265</v>
      </c>
      <c r="E57">
        <f t="shared" si="18"/>
        <v>1.2307219843212114</v>
      </c>
      <c r="F57">
        <f t="shared" si="18"/>
        <v>4.3942049001060717</v>
      </c>
      <c r="G57">
        <f t="shared" si="18"/>
        <v>0</v>
      </c>
      <c r="I57">
        <f t="shared" si="12"/>
        <v>0</v>
      </c>
      <c r="J57">
        <f t="shared" si="13"/>
        <v>0</v>
      </c>
      <c r="K57">
        <f t="shared" si="14"/>
        <v>0</v>
      </c>
      <c r="L57">
        <f t="shared" si="15"/>
        <v>0</v>
      </c>
      <c r="M57">
        <f t="shared" si="16"/>
        <v>0</v>
      </c>
      <c r="N57">
        <f t="shared" si="17"/>
        <v>0</v>
      </c>
      <c r="P57">
        <f t="shared" si="10"/>
        <v>0</v>
      </c>
      <c r="R57">
        <f>S_1($C$1,A57)</f>
        <v>10.392304845412626</v>
      </c>
      <c r="T57">
        <f t="shared" si="11"/>
        <v>2.2534600618540703E-27</v>
      </c>
    </row>
    <row r="58" spans="1:20" x14ac:dyDescent="0.25">
      <c r="A58">
        <v>9.9999999999980105E-2</v>
      </c>
      <c r="B58">
        <f t="shared" si="18"/>
        <v>0.10150725584611912</v>
      </c>
      <c r="C58">
        <f t="shared" si="18"/>
        <v>0.21078810283909155</v>
      </c>
      <c r="D58">
        <f t="shared" si="18"/>
        <v>0.47011910230169535</v>
      </c>
      <c r="E58">
        <f t="shared" si="18"/>
        <v>1.2054870501826882</v>
      </c>
      <c r="F58">
        <f t="shared" si="18"/>
        <v>3.9244672308963344</v>
      </c>
      <c r="G58">
        <f t="shared" si="18"/>
        <v>0</v>
      </c>
      <c r="I58">
        <f t="shared" si="12"/>
        <v>0</v>
      </c>
      <c r="J58">
        <f t="shared" si="13"/>
        <v>0</v>
      </c>
      <c r="K58">
        <f t="shared" si="14"/>
        <v>0</v>
      </c>
      <c r="L58">
        <f t="shared" si="15"/>
        <v>0</v>
      </c>
      <c r="M58">
        <f t="shared" si="16"/>
        <v>0</v>
      </c>
      <c r="N58">
        <f t="shared" si="17"/>
        <v>0</v>
      </c>
      <c r="P58">
        <f t="shared" si="10"/>
        <v>0</v>
      </c>
      <c r="R58">
        <f>S_1($C$1,A58)</f>
        <v>7.6988087843615087</v>
      </c>
      <c r="T58">
        <f t="shared" si="11"/>
        <v>2.9635828349069176E-2</v>
      </c>
    </row>
    <row r="59" spans="1:20" x14ac:dyDescent="0.25">
      <c r="A59">
        <v>0.19999999999998</v>
      </c>
      <c r="B59">
        <f t="shared" si="18"/>
        <v>0.10128078418365369</v>
      </c>
      <c r="C59">
        <f t="shared" si="18"/>
        <v>0.20954242334515444</v>
      </c>
      <c r="D59">
        <f t="shared" si="18"/>
        <v>0.46202852507114206</v>
      </c>
      <c r="E59">
        <f t="shared" si="18"/>
        <v>1.1328445565567793</v>
      </c>
      <c r="F59">
        <f t="shared" si="18"/>
        <v>2.7956443163399389</v>
      </c>
      <c r="G59">
        <f t="shared" si="18"/>
        <v>0</v>
      </c>
      <c r="I59">
        <f t="shared" si="12"/>
        <v>0</v>
      </c>
      <c r="J59">
        <f t="shared" si="13"/>
        <v>0</v>
      </c>
      <c r="K59">
        <f t="shared" si="14"/>
        <v>0</v>
      </c>
      <c r="L59">
        <f t="shared" si="15"/>
        <v>0</v>
      </c>
      <c r="M59">
        <f t="shared" si="16"/>
        <v>0</v>
      </c>
      <c r="N59">
        <f t="shared" si="17"/>
        <v>0</v>
      </c>
      <c r="P59">
        <f t="shared" si="10"/>
        <v>0</v>
      </c>
      <c r="R59">
        <f>S_1($C$1,A59)</f>
        <v>5.703417824999474</v>
      </c>
      <c r="T59">
        <f t="shared" si="11"/>
        <v>6.5057949773030449E-2</v>
      </c>
    </row>
    <row r="60" spans="1:20" x14ac:dyDescent="0.25">
      <c r="A60">
        <v>0.29999999999998</v>
      </c>
      <c r="B60">
        <f t="shared" si="18"/>
        <v>0.10090445369674451</v>
      </c>
      <c r="C60">
        <f t="shared" si="18"/>
        <v>0.20748262825846522</v>
      </c>
      <c r="D60">
        <f t="shared" si="18"/>
        <v>0.44885245770792009</v>
      </c>
      <c r="E60">
        <f t="shared" si="18"/>
        <v>1.0213704217782178</v>
      </c>
      <c r="F60">
        <f t="shared" si="18"/>
        <v>1.5884879750093803</v>
      </c>
      <c r="G60">
        <f t="shared" si="18"/>
        <v>0</v>
      </c>
      <c r="I60">
        <f t="shared" si="12"/>
        <v>0</v>
      </c>
      <c r="J60">
        <f t="shared" si="13"/>
        <v>0</v>
      </c>
      <c r="K60">
        <f t="shared" si="14"/>
        <v>0</v>
      </c>
      <c r="L60">
        <f t="shared" si="15"/>
        <v>0</v>
      </c>
      <c r="M60">
        <f t="shared" si="16"/>
        <v>0</v>
      </c>
      <c r="N60">
        <f t="shared" si="17"/>
        <v>0</v>
      </c>
      <c r="P60">
        <f t="shared" si="10"/>
        <v>0</v>
      </c>
      <c r="R60">
        <f>S_1($C$1,A60)</f>
        <v>4.2251958449205036</v>
      </c>
      <c r="T60">
        <f t="shared" si="11"/>
        <v>8.0335259675689982E-2</v>
      </c>
    </row>
    <row r="61" spans="1:20" x14ac:dyDescent="0.25">
      <c r="A61">
        <v>0.39999999999997998</v>
      </c>
      <c r="B61">
        <f t="shared" si="18"/>
        <v>0.10037993905617884</v>
      </c>
      <c r="C61">
        <f t="shared" si="18"/>
        <v>0.20463288665290608</v>
      </c>
      <c r="D61">
        <f t="shared" si="18"/>
        <v>0.43103481829757029</v>
      </c>
      <c r="E61">
        <f t="shared" si="18"/>
        <v>0.88348954253606815</v>
      </c>
      <c r="F61">
        <f t="shared" si="18"/>
        <v>0.71992416757606592</v>
      </c>
      <c r="G61">
        <f t="shared" si="18"/>
        <v>0</v>
      </c>
      <c r="I61">
        <f t="shared" si="12"/>
        <v>0</v>
      </c>
      <c r="J61">
        <f t="shared" si="13"/>
        <v>0</v>
      </c>
      <c r="K61">
        <f t="shared" si="14"/>
        <v>0</v>
      </c>
      <c r="L61">
        <f t="shared" si="15"/>
        <v>0</v>
      </c>
      <c r="M61">
        <f t="shared" si="16"/>
        <v>0</v>
      </c>
      <c r="N61">
        <f t="shared" si="17"/>
        <v>0</v>
      </c>
      <c r="P61">
        <f t="shared" si="10"/>
        <v>0</v>
      </c>
      <c r="R61">
        <f>S_1($C$1,A61)</f>
        <v>3.1301020678657951</v>
      </c>
      <c r="T61">
        <f t="shared" si="11"/>
        <v>7.8380311642053974E-2</v>
      </c>
    </row>
    <row r="62" spans="1:20" x14ac:dyDescent="0.25">
      <c r="A62">
        <v>0.49999999999998002</v>
      </c>
      <c r="B62">
        <f t="shared" si="18"/>
        <v>9.9709567384653475E-2</v>
      </c>
      <c r="C62">
        <f t="shared" si="18"/>
        <v>0.20102637069274673</v>
      </c>
      <c r="D62">
        <f t="shared" si="18"/>
        <v>0.40916174882116002</v>
      </c>
      <c r="E62">
        <f t="shared" si="18"/>
        <v>0.73320384147877549</v>
      </c>
      <c r="F62">
        <f t="shared" si="18"/>
        <v>0.26024978559500256</v>
      </c>
      <c r="G62">
        <f t="shared" si="18"/>
        <v>0</v>
      </c>
      <c r="I62">
        <f t="shared" si="12"/>
        <v>0</v>
      </c>
      <c r="J62">
        <f t="shared" si="13"/>
        <v>0</v>
      </c>
      <c r="K62">
        <f t="shared" si="14"/>
        <v>0</v>
      </c>
      <c r="L62">
        <f t="shared" si="15"/>
        <v>0</v>
      </c>
      <c r="M62">
        <f t="shared" si="16"/>
        <v>0</v>
      </c>
      <c r="N62">
        <f t="shared" si="17"/>
        <v>0</v>
      </c>
      <c r="P62">
        <f t="shared" si="10"/>
        <v>0</v>
      </c>
      <c r="R62">
        <f>S_1($C$1,A62)</f>
        <v>2.318836644468504</v>
      </c>
      <c r="T62">
        <f t="shared" si="11"/>
        <v>6.7212542296619021E-2</v>
      </c>
    </row>
    <row r="63" spans="1:20" x14ac:dyDescent="0.25">
      <c r="A63">
        <v>0.59999999999997999</v>
      </c>
      <c r="B63">
        <f t="shared" si="18"/>
        <v>9.889630105754238E-2</v>
      </c>
      <c r="C63">
        <f t="shared" si="18"/>
        <v>0.19670461297098144</v>
      </c>
      <c r="D63">
        <f t="shared" si="18"/>
        <v>0.38392962660908631</v>
      </c>
      <c r="E63">
        <f t="shared" si="18"/>
        <v>0.58378540335201945</v>
      </c>
      <c r="F63">
        <f t="shared" si="18"/>
        <v>7.5040343605522253E-2</v>
      </c>
      <c r="G63">
        <f t="shared" si="18"/>
        <v>0</v>
      </c>
      <c r="I63">
        <f t="shared" si="12"/>
        <v>0</v>
      </c>
      <c r="J63">
        <f t="shared" si="13"/>
        <v>0</v>
      </c>
      <c r="K63">
        <f t="shared" si="14"/>
        <v>0</v>
      </c>
      <c r="L63">
        <f t="shared" si="15"/>
        <v>0</v>
      </c>
      <c r="M63">
        <f t="shared" si="16"/>
        <v>0</v>
      </c>
      <c r="N63">
        <f t="shared" si="17"/>
        <v>0</v>
      </c>
      <c r="P63">
        <f t="shared" si="10"/>
        <v>0</v>
      </c>
      <c r="R63">
        <f>S_1($C$1,A63)</f>
        <v>1.7178364370067225</v>
      </c>
      <c r="T63">
        <f t="shared" si="11"/>
        <v>5.3117316437539586E-2</v>
      </c>
    </row>
    <row r="64" spans="1:20" x14ac:dyDescent="0.25">
      <c r="A64">
        <v>0.69999999999997997</v>
      </c>
      <c r="B64">
        <f t="shared" si="18"/>
        <v>9.7943715896589803E-2</v>
      </c>
      <c r="C64">
        <f t="shared" si="18"/>
        <v>0.19171671061884549</v>
      </c>
      <c r="D64">
        <f t="shared" si="18"/>
        <v>0.35610834760539695</v>
      </c>
      <c r="E64">
        <f t="shared" si="18"/>
        <v>0.44595076577367998</v>
      </c>
      <c r="F64">
        <f t="shared" si="18"/>
        <v>1.7258381053361332E-2</v>
      </c>
      <c r="G64">
        <f t="shared" si="18"/>
        <v>0</v>
      </c>
      <c r="I64">
        <f t="shared" si="12"/>
        <v>0</v>
      </c>
      <c r="J64">
        <f t="shared" si="13"/>
        <v>0</v>
      </c>
      <c r="K64">
        <f t="shared" si="14"/>
        <v>0</v>
      </c>
      <c r="L64">
        <f t="shared" si="15"/>
        <v>0</v>
      </c>
      <c r="M64">
        <f t="shared" si="16"/>
        <v>0</v>
      </c>
      <c r="N64">
        <f t="shared" si="17"/>
        <v>0</v>
      </c>
      <c r="P64">
        <f t="shared" si="10"/>
        <v>0</v>
      </c>
      <c r="R64">
        <f>S_1($C$1,A64)</f>
        <v>1.272604532685542</v>
      </c>
      <c r="T64">
        <f t="shared" si="11"/>
        <v>3.9678296266986504E-2</v>
      </c>
    </row>
    <row r="65" spans="1:20" x14ac:dyDescent="0.25">
      <c r="A65">
        <v>0.79999999999997995</v>
      </c>
      <c r="B65">
        <f t="shared" si="18"/>
        <v>9.6855974981134893E-2</v>
      </c>
      <c r="C65">
        <f t="shared" si="18"/>
        <v>0.18611839750501555</v>
      </c>
      <c r="D65">
        <f t="shared" si="18"/>
        <v>0.32650257382188919</v>
      </c>
      <c r="E65">
        <f t="shared" si="18"/>
        <v>0.32683290789999175</v>
      </c>
      <c r="F65">
        <f t="shared" si="18"/>
        <v>3.1659649278592186E-3</v>
      </c>
      <c r="G65">
        <f t="shared" si="18"/>
        <v>0</v>
      </c>
      <c r="I65">
        <f t="shared" si="12"/>
        <v>0</v>
      </c>
      <c r="J65">
        <f t="shared" si="13"/>
        <v>0</v>
      </c>
      <c r="K65">
        <f t="shared" si="14"/>
        <v>0</v>
      </c>
      <c r="L65">
        <f t="shared" si="15"/>
        <v>0</v>
      </c>
      <c r="M65">
        <f t="shared" si="16"/>
        <v>0</v>
      </c>
      <c r="N65">
        <f t="shared" si="17"/>
        <v>0</v>
      </c>
      <c r="P65">
        <f t="shared" si="10"/>
        <v>0</v>
      </c>
      <c r="R65">
        <f>S_1($C$1,A65)</f>
        <v>0.94276862553559238</v>
      </c>
      <c r="T65">
        <f t="shared" si="11"/>
        <v>2.8442005801415218E-2</v>
      </c>
    </row>
    <row r="66" spans="1:20" x14ac:dyDescent="0.25">
      <c r="A66">
        <v>0.89999999999998004</v>
      </c>
      <c r="B66">
        <f t="shared" si="18"/>
        <v>9.5637798345235017E-2</v>
      </c>
      <c r="C66">
        <f t="shared" si="18"/>
        <v>0.17997100902203364</v>
      </c>
      <c r="D66">
        <f t="shared" si="18"/>
        <v>0.29591364495831984</v>
      </c>
      <c r="E66">
        <f t="shared" ref="C66:G107" si="19">GCIA(E$4,$A66)</f>
        <v>0.22981047679093203</v>
      </c>
      <c r="F66">
        <f t="shared" si="19"/>
        <v>4.6324735831011028E-4</v>
      </c>
      <c r="G66">
        <f t="shared" si="19"/>
        <v>0</v>
      </c>
      <c r="I66">
        <f t="shared" si="12"/>
        <v>0</v>
      </c>
      <c r="J66">
        <f t="shared" si="13"/>
        <v>0</v>
      </c>
      <c r="K66">
        <f t="shared" si="14"/>
        <v>0</v>
      </c>
      <c r="L66">
        <f t="shared" si="15"/>
        <v>0</v>
      </c>
      <c r="M66">
        <f t="shared" si="16"/>
        <v>0</v>
      </c>
      <c r="N66">
        <f t="shared" si="17"/>
        <v>0</v>
      </c>
      <c r="P66">
        <f t="shared" si="10"/>
        <v>0</v>
      </c>
      <c r="R66">
        <f>S_1($C$1,A66)</f>
        <v>0.69842017568382608</v>
      </c>
      <c r="T66">
        <f t="shared" si="11"/>
        <v>1.9755525042989296E-2</v>
      </c>
    </row>
    <row r="67" spans="1:20" x14ac:dyDescent="0.25">
      <c r="A67">
        <v>0.99999999999998002</v>
      </c>
      <c r="B67">
        <f t="shared" ref="B67:B107" si="20">GCIA(B$4,$A67)</f>
        <v>9.4294428869282659E-2</v>
      </c>
      <c r="C67">
        <f t="shared" si="19"/>
        <v>0.17334036630656527</v>
      </c>
      <c r="D67">
        <f t="shared" si="19"/>
        <v>0.26510462297579285</v>
      </c>
      <c r="E67">
        <f t="shared" si="19"/>
        <v>0.15503117958223289</v>
      </c>
      <c r="F67">
        <f t="shared" si="19"/>
        <v>5.4065548018439003E-5</v>
      </c>
      <c r="G67">
        <f t="shared" si="19"/>
        <v>0</v>
      </c>
      <c r="I67">
        <f t="shared" si="12"/>
        <v>0</v>
      </c>
      <c r="J67">
        <f t="shared" si="13"/>
        <v>0</v>
      </c>
      <c r="K67">
        <f t="shared" si="14"/>
        <v>0</v>
      </c>
      <c r="L67">
        <f t="shared" si="15"/>
        <v>0</v>
      </c>
      <c r="M67">
        <f t="shared" si="16"/>
        <v>0</v>
      </c>
      <c r="N67">
        <f t="shared" si="17"/>
        <v>0</v>
      </c>
      <c r="P67">
        <f t="shared" si="10"/>
        <v>0</v>
      </c>
      <c r="R67">
        <f>S_1($C$1,A67)</f>
        <v>0.51740239183830494</v>
      </c>
      <c r="T67">
        <f t="shared" si="11"/>
        <v>1.3385261753999407E-2</v>
      </c>
    </row>
    <row r="68" spans="1:20" x14ac:dyDescent="0.25">
      <c r="A68">
        <v>1.0999999999999801</v>
      </c>
      <c r="B68">
        <f t="shared" si="20"/>
        <v>9.2831594710900772E-2</v>
      </c>
      <c r="C68">
        <f t="shared" si="19"/>
        <v>0.16629560819654343</v>
      </c>
      <c r="D68">
        <f t="shared" si="19"/>
        <v>0.23477050716867995</v>
      </c>
      <c r="E68">
        <f t="shared" si="19"/>
        <v>0.10033985312527734</v>
      </c>
      <c r="F68">
        <f t="shared" si="19"/>
        <v>5.0330248371133831E-6</v>
      </c>
      <c r="G68">
        <f t="shared" si="19"/>
        <v>0</v>
      </c>
      <c r="I68">
        <f t="shared" si="12"/>
        <v>0</v>
      </c>
      <c r="J68">
        <f t="shared" si="13"/>
        <v>0</v>
      </c>
      <c r="K68">
        <f t="shared" si="14"/>
        <v>0</v>
      </c>
      <c r="L68">
        <f t="shared" si="15"/>
        <v>0</v>
      </c>
      <c r="M68">
        <f t="shared" si="16"/>
        <v>0</v>
      </c>
      <c r="N68">
        <f t="shared" si="17"/>
        <v>0</v>
      </c>
      <c r="P68">
        <f t="shared" si="10"/>
        <v>0</v>
      </c>
      <c r="R68">
        <f>S_1($C$1,A68)</f>
        <v>0.38330111929811794</v>
      </c>
      <c r="T68">
        <f t="shared" si="11"/>
        <v>8.8886447573386755E-3</v>
      </c>
    </row>
    <row r="69" spans="1:20" x14ac:dyDescent="0.25">
      <c r="A69">
        <v>1.19999999999998</v>
      </c>
      <c r="B69">
        <f t="shared" si="20"/>
        <v>9.1255468651614116E-2</v>
      </c>
      <c r="C69">
        <f t="shared" si="19"/>
        <v>0.1589079997655804</v>
      </c>
      <c r="D69">
        <f t="shared" si="19"/>
        <v>0.20551508380509134</v>
      </c>
      <c r="E69">
        <f t="shared" si="19"/>
        <v>6.2306456451837244E-2</v>
      </c>
      <c r="F69">
        <f t="shared" si="19"/>
        <v>3.7371311901564927E-7</v>
      </c>
      <c r="G69">
        <f t="shared" si="19"/>
        <v>0</v>
      </c>
      <c r="I69">
        <f t="shared" si="12"/>
        <v>0</v>
      </c>
      <c r="J69">
        <f t="shared" si="13"/>
        <v>0</v>
      </c>
      <c r="K69">
        <f t="shared" si="14"/>
        <v>0</v>
      </c>
      <c r="L69">
        <f t="shared" si="15"/>
        <v>0</v>
      </c>
      <c r="M69">
        <f t="shared" si="16"/>
        <v>0</v>
      </c>
      <c r="N69">
        <f t="shared" si="17"/>
        <v>0</v>
      </c>
      <c r="P69">
        <f t="shared" si="10"/>
        <v>0</v>
      </c>
      <c r="R69">
        <f>S_1($C$1,A69)</f>
        <v>0.28395645318374263</v>
      </c>
      <c r="T69">
        <f t="shared" si="11"/>
        <v>5.8054512459375599E-3</v>
      </c>
    </row>
    <row r="70" spans="1:20" x14ac:dyDescent="0.25">
      <c r="A70">
        <v>1.2999999999999801</v>
      </c>
      <c r="B70">
        <f t="shared" si="20"/>
        <v>8.9572624762660688E-2</v>
      </c>
      <c r="C70">
        <f t="shared" si="19"/>
        <v>0.15124974590306406</v>
      </c>
      <c r="D70">
        <f t="shared" si="19"/>
        <v>0.17783522721156472</v>
      </c>
      <c r="E70">
        <f t="shared" si="19"/>
        <v>3.7119133160371402E-2</v>
      </c>
      <c r="F70">
        <f t="shared" si="19"/>
        <v>2.2133414646981272E-8</v>
      </c>
      <c r="G70">
        <f t="shared" si="19"/>
        <v>0</v>
      </c>
      <c r="I70">
        <f t="shared" si="12"/>
        <v>0</v>
      </c>
      <c r="J70">
        <f t="shared" si="13"/>
        <v>0</v>
      </c>
      <c r="K70">
        <f t="shared" si="14"/>
        <v>0</v>
      </c>
      <c r="L70">
        <f t="shared" si="15"/>
        <v>0</v>
      </c>
      <c r="M70">
        <f t="shared" si="16"/>
        <v>0</v>
      </c>
      <c r="N70">
        <f t="shared" si="17"/>
        <v>0</v>
      </c>
      <c r="P70">
        <f t="shared" si="10"/>
        <v>0</v>
      </c>
      <c r="R70">
        <f>S_1($C$1,A70)</f>
        <v>0.21036011439867178</v>
      </c>
      <c r="T70">
        <f t="shared" si="11"/>
        <v>3.739241418169868E-3</v>
      </c>
    </row>
    <row r="71" spans="1:20" x14ac:dyDescent="0.25">
      <c r="A71">
        <v>1.3999999999999799</v>
      </c>
      <c r="B71">
        <f t="shared" si="20"/>
        <v>8.77899928150363E-2</v>
      </c>
      <c r="C71">
        <f t="shared" si="19"/>
        <v>0.14339283717169513</v>
      </c>
      <c r="D71">
        <f t="shared" si="19"/>
        <v>0.15211281838565063</v>
      </c>
      <c r="E71">
        <f t="shared" si="19"/>
        <v>2.1216208793649383E-2</v>
      </c>
      <c r="F71">
        <f t="shared" si="19"/>
        <v>1.0455848998561185E-9</v>
      </c>
      <c r="G71">
        <f t="shared" si="19"/>
        <v>0</v>
      </c>
      <c r="I71">
        <f t="shared" si="12"/>
        <v>0</v>
      </c>
      <c r="J71">
        <f t="shared" si="13"/>
        <v>0</v>
      </c>
      <c r="K71">
        <f t="shared" si="14"/>
        <v>0</v>
      </c>
      <c r="L71">
        <f t="shared" si="15"/>
        <v>0</v>
      </c>
      <c r="M71">
        <f t="shared" si="16"/>
        <v>0</v>
      </c>
      <c r="N71">
        <f t="shared" si="17"/>
        <v>0</v>
      </c>
      <c r="P71">
        <f t="shared" si="10"/>
        <v>0</v>
      </c>
      <c r="R71">
        <f>S_1($C$1,A71)</f>
        <v>0.15583860565122667</v>
      </c>
      <c r="T71">
        <f t="shared" si="11"/>
        <v>2.3799957591091486E-3</v>
      </c>
    </row>
    <row r="72" spans="1:20" x14ac:dyDescent="0.25">
      <c r="A72">
        <v>1.49999999999998</v>
      </c>
      <c r="B72">
        <f t="shared" si="20"/>
        <v>8.5914810875242414E-2</v>
      </c>
      <c r="C72">
        <f t="shared" si="19"/>
        <v>0.13540795314911758</v>
      </c>
      <c r="D72">
        <f t="shared" si="19"/>
        <v>0.12861385610404691</v>
      </c>
      <c r="E72">
        <f t="shared" si="19"/>
        <v>1.1634371244490866E-2</v>
      </c>
      <c r="F72">
        <f t="shared" si="19"/>
        <v>3.9397711095721849E-11</v>
      </c>
      <c r="G72">
        <f t="shared" si="19"/>
        <v>0</v>
      </c>
      <c r="I72">
        <f t="shared" si="12"/>
        <v>0</v>
      </c>
      <c r="J72">
        <f t="shared" si="13"/>
        <v>0</v>
      </c>
      <c r="K72">
        <f t="shared" si="14"/>
        <v>0</v>
      </c>
      <c r="L72">
        <f t="shared" si="15"/>
        <v>0</v>
      </c>
      <c r="M72">
        <f t="shared" si="16"/>
        <v>0</v>
      </c>
      <c r="N72">
        <f t="shared" si="17"/>
        <v>0</v>
      </c>
      <c r="P72">
        <f t="shared" ref="P72:P107" si="21">SUM(I72:N72)</f>
        <v>0</v>
      </c>
      <c r="R72">
        <f>S_1($C$1,A72)</f>
        <v>0.11544807855206167</v>
      </c>
      <c r="T72">
        <f t="shared" ref="T72:T107" si="22">0.1*A72^2*(R72-P72)^2/2</f>
        <v>1.4994291196532977E-3</v>
      </c>
    </row>
    <row r="73" spans="1:20" x14ac:dyDescent="0.25">
      <c r="A73">
        <v>1.5999999999999801</v>
      </c>
      <c r="B73">
        <f t="shared" si="20"/>
        <v>8.3954576539105277E-2</v>
      </c>
      <c r="C73">
        <f t="shared" si="19"/>
        <v>0.12736344575023539</v>
      </c>
      <c r="D73">
        <f t="shared" si="19"/>
        <v>0.10749385377573537</v>
      </c>
      <c r="E73">
        <f t="shared" si="19"/>
        <v>6.1210120792896446E-3</v>
      </c>
      <c r="F73">
        <f t="shared" si="19"/>
        <v>1.1840866531894398E-12</v>
      </c>
      <c r="G73">
        <f t="shared" si="19"/>
        <v>0</v>
      </c>
      <c r="I73">
        <f t="shared" si="12"/>
        <v>0</v>
      </c>
      <c r="J73">
        <f t="shared" si="13"/>
        <v>0</v>
      </c>
      <c r="K73">
        <f t="shared" si="14"/>
        <v>0</v>
      </c>
      <c r="L73">
        <f t="shared" si="15"/>
        <v>0</v>
      </c>
      <c r="M73">
        <f t="shared" si="16"/>
        <v>0</v>
      </c>
      <c r="N73">
        <f t="shared" si="17"/>
        <v>0</v>
      </c>
      <c r="P73">
        <f t="shared" si="21"/>
        <v>0</v>
      </c>
      <c r="R73">
        <f>S_1($C$1,A73)</f>
        <v>8.5526040134061454E-2</v>
      </c>
      <c r="T73">
        <f t="shared" si="22"/>
        <v>9.362820532496525E-4</v>
      </c>
    </row>
    <row r="74" spans="1:20" x14ac:dyDescent="0.25">
      <c r="A74">
        <v>1.69999999999998</v>
      </c>
      <c r="B74">
        <f t="shared" si="20"/>
        <v>8.1916997261401267E-2</v>
      </c>
      <c r="C74">
        <f t="shared" si="19"/>
        <v>0.11932442175696642</v>
      </c>
      <c r="D74">
        <f t="shared" si="19"/>
        <v>8.8808274925452568E-2</v>
      </c>
      <c r="E74">
        <f t="shared" si="19"/>
        <v>3.0896461051859946E-3</v>
      </c>
      <c r="F74">
        <f t="shared" si="19"/>
        <v>2.8385515560264466E-14</v>
      </c>
      <c r="G74">
        <f t="shared" si="19"/>
        <v>0</v>
      </c>
      <c r="I74">
        <f t="shared" si="12"/>
        <v>0</v>
      </c>
      <c r="J74">
        <f t="shared" si="13"/>
        <v>0</v>
      </c>
      <c r="K74">
        <f t="shared" si="14"/>
        <v>0</v>
      </c>
      <c r="L74">
        <f t="shared" si="15"/>
        <v>0</v>
      </c>
      <c r="M74">
        <f t="shared" si="16"/>
        <v>0</v>
      </c>
      <c r="N74">
        <f t="shared" si="17"/>
        <v>0</v>
      </c>
      <c r="P74">
        <f t="shared" si="21"/>
        <v>0</v>
      </c>
      <c r="R74">
        <f>S_1($C$1,A74)</f>
        <v>6.3359248874068616E-2</v>
      </c>
      <c r="T74">
        <f t="shared" si="22"/>
        <v>5.8007999338453723E-4</v>
      </c>
    </row>
    <row r="75" spans="1:20" x14ac:dyDescent="0.25">
      <c r="A75">
        <v>1.7999999999999801</v>
      </c>
      <c r="B75">
        <f t="shared" si="20"/>
        <v>7.9809940238899049E-2</v>
      </c>
      <c r="C75">
        <f t="shared" si="19"/>
        <v>0.11135194009316372</v>
      </c>
      <c r="D75">
        <f t="shared" si="19"/>
        <v>7.2526573936246549E-2</v>
      </c>
      <c r="E75">
        <f t="shared" si="19"/>
        <v>1.4962336571409838E-3</v>
      </c>
      <c r="F75">
        <f t="shared" si="19"/>
        <v>5.4276382391279404E-16</v>
      </c>
      <c r="G75">
        <f t="shared" si="19"/>
        <v>0</v>
      </c>
      <c r="I75">
        <f t="shared" si="12"/>
        <v>0</v>
      </c>
      <c r="J75">
        <f t="shared" si="13"/>
        <v>0</v>
      </c>
      <c r="K75">
        <f t="shared" si="14"/>
        <v>0</v>
      </c>
      <c r="L75">
        <f t="shared" si="15"/>
        <v>0</v>
      </c>
      <c r="M75">
        <f t="shared" si="16"/>
        <v>0</v>
      </c>
      <c r="N75">
        <f t="shared" si="17"/>
        <v>0</v>
      </c>
      <c r="P75">
        <f t="shared" si="21"/>
        <v>0</v>
      </c>
      <c r="R75">
        <f>S_1($C$1,A75)</f>
        <v>4.6937686014617654E-2</v>
      </c>
      <c r="T75">
        <f t="shared" si="22"/>
        <v>3.5690971168189916E-4</v>
      </c>
    </row>
    <row r="76" spans="1:20" x14ac:dyDescent="0.25">
      <c r="A76">
        <v>1.8999999999999799</v>
      </c>
      <c r="B76">
        <f t="shared" si="20"/>
        <v>7.764138229892438E-2</v>
      </c>
      <c r="C76">
        <f t="shared" si="19"/>
        <v>0.10350233542357162</v>
      </c>
      <c r="D76">
        <f t="shared" si="19"/>
        <v>5.8548371261791764E-2</v>
      </c>
      <c r="E76">
        <f t="shared" si="19"/>
        <v>6.9517682263780525E-4</v>
      </c>
      <c r="F76">
        <f t="shared" si="19"/>
        <v>8.2780073279957163E-18</v>
      </c>
      <c r="G76">
        <f t="shared" si="19"/>
        <v>0</v>
      </c>
      <c r="I76">
        <f t="shared" si="12"/>
        <v>0</v>
      </c>
      <c r="J76">
        <f t="shared" si="13"/>
        <v>0</v>
      </c>
      <c r="K76">
        <f t="shared" si="14"/>
        <v>0</v>
      </c>
      <c r="L76">
        <f t="shared" si="15"/>
        <v>0</v>
      </c>
      <c r="M76">
        <f t="shared" si="16"/>
        <v>0</v>
      </c>
      <c r="N76">
        <f t="shared" si="17"/>
        <v>0</v>
      </c>
      <c r="P76">
        <f t="shared" si="21"/>
        <v>0</v>
      </c>
      <c r="R76">
        <f>S_1($C$1,A76)</f>
        <v>3.4772293036266208E-2</v>
      </c>
      <c r="T76">
        <f t="shared" si="22"/>
        <v>2.1824478152148954E-4</v>
      </c>
    </row>
    <row r="77" spans="1:20" x14ac:dyDescent="0.25">
      <c r="A77">
        <v>1.99999999999998</v>
      </c>
      <c r="B77">
        <f t="shared" si="20"/>
        <v>7.5419360234861177E-2</v>
      </c>
      <c r="C77">
        <f t="shared" si="19"/>
        <v>9.5826675578323917E-2</v>
      </c>
      <c r="D77">
        <f t="shared" si="19"/>
        <v>4.6720383723870322E-2</v>
      </c>
      <c r="E77">
        <f t="shared" si="19"/>
        <v>3.0988198587331563E-4</v>
      </c>
      <c r="F77">
        <f t="shared" si="19"/>
        <v>1.0070279525139688E-19</v>
      </c>
      <c r="G77">
        <f t="shared" si="19"/>
        <v>0</v>
      </c>
      <c r="I77">
        <f t="shared" si="12"/>
        <v>0</v>
      </c>
      <c r="J77">
        <f t="shared" si="13"/>
        <v>0</v>
      </c>
      <c r="K77">
        <f t="shared" si="14"/>
        <v>0</v>
      </c>
      <c r="L77">
        <f t="shared" si="15"/>
        <v>0</v>
      </c>
      <c r="M77">
        <f t="shared" si="16"/>
        <v>0</v>
      </c>
      <c r="N77">
        <f t="shared" si="17"/>
        <v>0</v>
      </c>
      <c r="P77">
        <f t="shared" si="21"/>
        <v>0</v>
      </c>
      <c r="R77">
        <f>S_1($C$1,A77)</f>
        <v>2.5759948256150026E-2</v>
      </c>
      <c r="T77">
        <f t="shared" si="22"/>
        <v>1.3271498683190271E-4</v>
      </c>
    </row>
    <row r="78" spans="1:20" x14ac:dyDescent="0.25">
      <c r="A78">
        <v>2.0999999999999699</v>
      </c>
      <c r="B78">
        <f t="shared" si="20"/>
        <v>7.3151922014388027E-2</v>
      </c>
      <c r="C78">
        <f t="shared" si="19"/>
        <v>8.8370356255527222E-2</v>
      </c>
      <c r="D78">
        <f t="shared" si="19"/>
        <v>3.6852920593155501E-2</v>
      </c>
      <c r="E78">
        <f t="shared" si="19"/>
        <v>1.3252644816067841E-4</v>
      </c>
      <c r="F78">
        <f t="shared" si="19"/>
        <v>9.7714283268220764E-22</v>
      </c>
      <c r="G78">
        <f t="shared" si="19"/>
        <v>0</v>
      </c>
      <c r="I78">
        <f t="shared" si="12"/>
        <v>0</v>
      </c>
      <c r="J78">
        <f t="shared" si="13"/>
        <v>0</v>
      </c>
      <c r="K78">
        <f t="shared" si="14"/>
        <v>0</v>
      </c>
      <c r="L78">
        <f t="shared" si="15"/>
        <v>0</v>
      </c>
      <c r="M78">
        <f t="shared" si="16"/>
        <v>0</v>
      </c>
      <c r="N78">
        <f t="shared" si="17"/>
        <v>0</v>
      </c>
      <c r="P78">
        <f t="shared" si="21"/>
        <v>0</v>
      </c>
      <c r="R78">
        <f>S_1($C$1,A78)</f>
        <v>1.9083439031974746E-2</v>
      </c>
      <c r="T78">
        <f t="shared" si="22"/>
        <v>8.030117078580263E-5</v>
      </c>
    </row>
    <row r="79" spans="1:20" x14ac:dyDescent="0.25">
      <c r="A79">
        <v>2.19999999999997</v>
      </c>
      <c r="B79">
        <f t="shared" si="20"/>
        <v>7.0847079266035728E-2</v>
      </c>
      <c r="C79">
        <f t="shared" si="19"/>
        <v>8.1172832570464343E-2</v>
      </c>
      <c r="D79">
        <f t="shared" si="19"/>
        <v>2.8735009763992032E-2</v>
      </c>
      <c r="E79">
        <f t="shared" si="19"/>
        <v>5.4376840345302129E-5</v>
      </c>
      <c r="F79">
        <f t="shared" si="19"/>
        <v>7.5626740391124619E-24</v>
      </c>
      <c r="G79">
        <f t="shared" si="19"/>
        <v>0</v>
      </c>
      <c r="I79">
        <f t="shared" si="12"/>
        <v>0</v>
      </c>
      <c r="J79">
        <f t="shared" si="13"/>
        <v>0</v>
      </c>
      <c r="K79">
        <f t="shared" si="14"/>
        <v>0</v>
      </c>
      <c r="L79">
        <f t="shared" si="15"/>
        <v>0</v>
      </c>
      <c r="M79">
        <f t="shared" si="16"/>
        <v>0</v>
      </c>
      <c r="N79">
        <f t="shared" si="17"/>
        <v>0</v>
      </c>
      <c r="P79">
        <f t="shared" si="21"/>
        <v>0</v>
      </c>
      <c r="R79">
        <f>S_1($C$1,A79)</f>
        <v>1.4137359348155579E-2</v>
      </c>
      <c r="T79">
        <f t="shared" si="22"/>
        <v>4.8367312900008109E-5</v>
      </c>
    </row>
    <row r="80" spans="1:20" x14ac:dyDescent="0.25">
      <c r="A80">
        <v>2.2999999999999701</v>
      </c>
      <c r="B80">
        <f t="shared" si="20"/>
        <v>6.8512761425238905E-2</v>
      </c>
      <c r="C80">
        <f t="shared" si="19"/>
        <v>7.4267483422151295E-2</v>
      </c>
      <c r="D80">
        <f t="shared" si="19"/>
        <v>2.2147500187146337E-2</v>
      </c>
      <c r="E80">
        <f t="shared" si="19"/>
        <v>2.1405755495744841E-5</v>
      </c>
      <c r="F80">
        <f t="shared" si="19"/>
        <v>4.6686736787826242E-26</v>
      </c>
      <c r="G80">
        <f t="shared" si="19"/>
        <v>0</v>
      </c>
      <c r="I80">
        <f t="shared" si="12"/>
        <v>0</v>
      </c>
      <c r="J80">
        <f t="shared" si="13"/>
        <v>0</v>
      </c>
      <c r="K80">
        <f t="shared" si="14"/>
        <v>0</v>
      </c>
      <c r="L80">
        <f t="shared" si="15"/>
        <v>0</v>
      </c>
      <c r="M80">
        <f t="shared" si="16"/>
        <v>0</v>
      </c>
      <c r="N80">
        <f t="shared" si="17"/>
        <v>0</v>
      </c>
      <c r="P80">
        <f t="shared" si="21"/>
        <v>0</v>
      </c>
      <c r="R80">
        <f>S_1($C$1,A80)</f>
        <v>1.0473213397438669E-2</v>
      </c>
      <c r="T80">
        <f t="shared" si="22"/>
        <v>2.9012528600661641E-5</v>
      </c>
    </row>
    <row r="81" spans="1:20" x14ac:dyDescent="0.25">
      <c r="A81">
        <v>2.3999999999999702</v>
      </c>
      <c r="B81">
        <f t="shared" si="20"/>
        <v>6.6156771892861163E-2</v>
      </c>
      <c r="C81">
        <f t="shared" si="19"/>
        <v>6.7681601438189715E-2</v>
      </c>
      <c r="D81">
        <f t="shared" si="19"/>
        <v>1.6873765385714192E-2</v>
      </c>
      <c r="E81">
        <f t="shared" si="19"/>
        <v>8.0844845268415707E-6</v>
      </c>
      <c r="F81">
        <f t="shared" si="19"/>
        <v>2.2988596795844101E-28</v>
      </c>
      <c r="G81">
        <f t="shared" si="19"/>
        <v>0</v>
      </c>
      <c r="I81">
        <f t="shared" si="12"/>
        <v>0</v>
      </c>
      <c r="J81">
        <f t="shared" si="13"/>
        <v>0</v>
      </c>
      <c r="K81">
        <f t="shared" si="14"/>
        <v>0</v>
      </c>
      <c r="L81">
        <f t="shared" si="15"/>
        <v>0</v>
      </c>
      <c r="M81">
        <f t="shared" si="16"/>
        <v>0</v>
      </c>
      <c r="N81">
        <f t="shared" si="17"/>
        <v>0</v>
      </c>
      <c r="P81">
        <f t="shared" si="21"/>
        <v>0</v>
      </c>
      <c r="R81">
        <f>S_1($C$1,A81)</f>
        <v>7.7587473139104383E-3</v>
      </c>
      <c r="T81">
        <f t="shared" si="22"/>
        <v>1.7337070045759954E-5</v>
      </c>
    </row>
    <row r="82" spans="1:20" x14ac:dyDescent="0.25">
      <c r="A82">
        <v>2.4999999999999698</v>
      </c>
      <c r="B82">
        <f t="shared" si="20"/>
        <v>6.3786746527708979E-2</v>
      </c>
      <c r="C82">
        <f t="shared" si="19"/>
        <v>6.1436498516853275E-2</v>
      </c>
      <c r="D82">
        <f t="shared" si="19"/>
        <v>1.2707883536120639E-2</v>
      </c>
      <c r="E82">
        <f t="shared" si="19"/>
        <v>2.929404131525903E-6</v>
      </c>
      <c r="F82">
        <f t="shared" si="19"/>
        <v>9.0288453179570704E-31</v>
      </c>
      <c r="G82">
        <f t="shared" si="19"/>
        <v>0</v>
      </c>
      <c r="I82">
        <f t="shared" ref="I82:I107" si="23">B$5*B82</f>
        <v>0</v>
      </c>
      <c r="J82">
        <f t="shared" ref="J82:J107" si="24">C$5*C82</f>
        <v>0</v>
      </c>
      <c r="K82">
        <f t="shared" ref="K82:K107" si="25">D$5*D82</f>
        <v>0</v>
      </c>
      <c r="L82">
        <f t="shared" ref="L82:L107" si="26">E$5*E82</f>
        <v>0</v>
      </c>
      <c r="M82">
        <f t="shared" ref="M82:M107" si="27">F$5*F82</f>
        <v>0</v>
      </c>
      <c r="N82">
        <f t="shared" ref="N82:N107" si="28">G$5*G82</f>
        <v>0</v>
      </c>
      <c r="P82">
        <f t="shared" si="21"/>
        <v>0</v>
      </c>
      <c r="R82">
        <f>S_1($C$1,A82)</f>
        <v>5.7478213798101956E-3</v>
      </c>
      <c r="T82">
        <f t="shared" si="22"/>
        <v>1.0324203316938245E-5</v>
      </c>
    </row>
    <row r="83" spans="1:20" x14ac:dyDescent="0.25">
      <c r="A83">
        <v>2.5999999999999699</v>
      </c>
      <c r="B83">
        <f t="shared" si="20"/>
        <v>6.1410114760302198E-2</v>
      </c>
      <c r="C83">
        <f t="shared" si="19"/>
        <v>5.554771476690077E-2</v>
      </c>
      <c r="D83">
        <f t="shared" si="19"/>
        <v>9.4603754624607347E-3</v>
      </c>
      <c r="E83">
        <f t="shared" si="19"/>
        <v>1.0183836711113577E-6</v>
      </c>
      <c r="F83">
        <f t="shared" si="19"/>
        <v>2.828477761498691E-33</v>
      </c>
      <c r="G83">
        <f t="shared" si="19"/>
        <v>0</v>
      </c>
      <c r="I83">
        <f t="shared" si="23"/>
        <v>0</v>
      </c>
      <c r="J83">
        <f t="shared" si="24"/>
        <v>0</v>
      </c>
      <c r="K83">
        <f t="shared" si="25"/>
        <v>0</v>
      </c>
      <c r="L83">
        <f t="shared" si="26"/>
        <v>0</v>
      </c>
      <c r="M83">
        <f t="shared" si="27"/>
        <v>0</v>
      </c>
      <c r="N83">
        <f t="shared" si="28"/>
        <v>0</v>
      </c>
      <c r="P83">
        <f t="shared" si="21"/>
        <v>0</v>
      </c>
      <c r="R83">
        <f>S_1($C$1,A83)</f>
        <v>4.2580908073873219E-3</v>
      </c>
      <c r="T83">
        <f t="shared" si="22"/>
        <v>6.128392015497127E-6</v>
      </c>
    </row>
    <row r="84" spans="1:20" x14ac:dyDescent="0.25">
      <c r="A84">
        <v>2.69999999999997</v>
      </c>
      <c r="B84">
        <f t="shared" si="20"/>
        <v>5.9034063578696915E-2</v>
      </c>
      <c r="C84">
        <f t="shared" si="19"/>
        <v>5.0025316982416891E-2</v>
      </c>
      <c r="D84">
        <f t="shared" si="19"/>
        <v>6.9617343516121359E-3</v>
      </c>
      <c r="E84">
        <f t="shared" si="19"/>
        <v>3.3966339524899687E-7</v>
      </c>
      <c r="F84">
        <f t="shared" si="19"/>
        <v>7.0676352864737607E-36</v>
      </c>
      <c r="G84">
        <f t="shared" si="19"/>
        <v>0</v>
      </c>
      <c r="I84">
        <f t="shared" si="23"/>
        <v>0</v>
      </c>
      <c r="J84">
        <f t="shared" si="24"/>
        <v>0</v>
      </c>
      <c r="K84">
        <f t="shared" si="25"/>
        <v>0</v>
      </c>
      <c r="L84">
        <f t="shared" si="26"/>
        <v>0</v>
      </c>
      <c r="M84">
        <f t="shared" si="27"/>
        <v>0</v>
      </c>
      <c r="N84">
        <f t="shared" si="28"/>
        <v>0</v>
      </c>
      <c r="P84">
        <f t="shared" si="21"/>
        <v>0</v>
      </c>
      <c r="R84">
        <f>S_1($C$1,A84)</f>
        <v>3.1544712554298585E-3</v>
      </c>
      <c r="T84">
        <f t="shared" si="22"/>
        <v>3.6270261045358809E-6</v>
      </c>
    </row>
    <row r="85" spans="1:20" x14ac:dyDescent="0.25">
      <c r="A85">
        <v>2.7999999999999701</v>
      </c>
      <c r="B85">
        <f t="shared" si="20"/>
        <v>5.6665504599005247E-2</v>
      </c>
      <c r="C85">
        <f t="shared" si="19"/>
        <v>4.4874271690107034E-2</v>
      </c>
      <c r="D85">
        <f t="shared" si="19"/>
        <v>5.06407873017534E-3</v>
      </c>
      <c r="E85">
        <f t="shared" si="19"/>
        <v>1.0869041516116698E-7</v>
      </c>
      <c r="F85">
        <f t="shared" si="19"/>
        <v>1.4086279400220331E-38</v>
      </c>
      <c r="G85">
        <f t="shared" si="19"/>
        <v>0</v>
      </c>
      <c r="I85">
        <f t="shared" si="23"/>
        <v>0</v>
      </c>
      <c r="J85">
        <f t="shared" si="24"/>
        <v>0</v>
      </c>
      <c r="K85">
        <f t="shared" si="25"/>
        <v>0</v>
      </c>
      <c r="L85">
        <f t="shared" si="26"/>
        <v>0</v>
      </c>
      <c r="M85">
        <f t="shared" si="27"/>
        <v>0</v>
      </c>
      <c r="N85">
        <f t="shared" si="28"/>
        <v>0</v>
      </c>
      <c r="P85">
        <f t="shared" si="21"/>
        <v>0</v>
      </c>
      <c r="R85">
        <f>S_1($C$1,A85)</f>
        <v>2.3368897826391713E-3</v>
      </c>
      <c r="T85">
        <f t="shared" si="22"/>
        <v>2.1407331116316689E-6</v>
      </c>
    </row>
    <row r="86" spans="1:20" x14ac:dyDescent="0.25">
      <c r="A86">
        <v>2.8999999999999702</v>
      </c>
      <c r="B86">
        <f t="shared" si="20"/>
        <v>5.431104439398933E-2</v>
      </c>
      <c r="C86">
        <f t="shared" si="19"/>
        <v>4.0094877256194796E-2</v>
      </c>
      <c r="D86">
        <f t="shared" si="19"/>
        <v>3.6413076868237531E-3</v>
      </c>
      <c r="E86">
        <f t="shared" si="19"/>
        <v>3.3368672584016175E-8</v>
      </c>
      <c r="F86">
        <f t="shared" si="19"/>
        <v>2.2393360539139457E-41</v>
      </c>
      <c r="G86">
        <f t="shared" si="19"/>
        <v>0</v>
      </c>
      <c r="I86">
        <f t="shared" si="23"/>
        <v>0</v>
      </c>
      <c r="J86">
        <f t="shared" si="24"/>
        <v>0</v>
      </c>
      <c r="K86">
        <f t="shared" si="25"/>
        <v>0</v>
      </c>
      <c r="L86">
        <f t="shared" si="26"/>
        <v>0</v>
      </c>
      <c r="M86">
        <f t="shared" si="27"/>
        <v>0</v>
      </c>
      <c r="N86">
        <f t="shared" si="28"/>
        <v>0</v>
      </c>
      <c r="P86">
        <f t="shared" si="21"/>
        <v>0</v>
      </c>
      <c r="R86">
        <f>S_1($C$1,A86)</f>
        <v>1.731210530704036E-3</v>
      </c>
      <c r="T86">
        <f t="shared" si="22"/>
        <v>1.2602763036314154E-6</v>
      </c>
    </row>
    <row r="87" spans="1:20" x14ac:dyDescent="0.25">
      <c r="A87">
        <v>2.9999999999999698</v>
      </c>
      <c r="B87">
        <f t="shared" si="20"/>
        <v>5.1976958213278301E-2</v>
      </c>
      <c r="C87">
        <f t="shared" si="19"/>
        <v>3.5683239506352667E-2</v>
      </c>
      <c r="D87">
        <f t="shared" si="19"/>
        <v>2.5881427971380928E-3</v>
      </c>
      <c r="E87">
        <f t="shared" si="19"/>
        <v>9.8286030507259882E-9</v>
      </c>
      <c r="F87">
        <f t="shared" si="19"/>
        <v>2.8395077123043964E-44</v>
      </c>
      <c r="G87">
        <f t="shared" si="19"/>
        <v>0</v>
      </c>
      <c r="I87">
        <f t="shared" si="23"/>
        <v>0</v>
      </c>
      <c r="J87">
        <f t="shared" si="24"/>
        <v>0</v>
      </c>
      <c r="K87">
        <f t="shared" si="25"/>
        <v>0</v>
      </c>
      <c r="L87">
        <f t="shared" si="26"/>
        <v>0</v>
      </c>
      <c r="M87">
        <f t="shared" si="27"/>
        <v>0</v>
      </c>
      <c r="N87">
        <f t="shared" si="28"/>
        <v>0</v>
      </c>
      <c r="P87">
        <f t="shared" si="21"/>
        <v>0</v>
      </c>
      <c r="R87">
        <f>S_1($C$1,A87)</f>
        <v>1.2825123049816176E-3</v>
      </c>
      <c r="T87">
        <f t="shared" si="22"/>
        <v>7.401770155931529E-7</v>
      </c>
    </row>
    <row r="88" spans="1:20" x14ac:dyDescent="0.25">
      <c r="A88">
        <v>3.0999999999999699</v>
      </c>
      <c r="B88">
        <f t="shared" si="20"/>
        <v>4.9669167188911914E-2</v>
      </c>
      <c r="C88">
        <f t="shared" si="19"/>
        <v>3.1631775745780376E-2</v>
      </c>
      <c r="D88">
        <f t="shared" si="19"/>
        <v>1.8184150531373323E-3</v>
      </c>
      <c r="E88">
        <f t="shared" si="19"/>
        <v>2.777472977049448E-9</v>
      </c>
      <c r="F88">
        <f t="shared" si="19"/>
        <v>2.871888925268207E-47</v>
      </c>
      <c r="G88">
        <f t="shared" si="19"/>
        <v>0</v>
      </c>
      <c r="I88">
        <f t="shared" si="23"/>
        <v>0</v>
      </c>
      <c r="J88">
        <f t="shared" si="24"/>
        <v>0</v>
      </c>
      <c r="K88">
        <f t="shared" si="25"/>
        <v>0</v>
      </c>
      <c r="L88">
        <f t="shared" si="26"/>
        <v>0</v>
      </c>
      <c r="M88">
        <f t="shared" si="27"/>
        <v>0</v>
      </c>
      <c r="N88">
        <f t="shared" si="28"/>
        <v>0</v>
      </c>
      <c r="P88">
        <f t="shared" si="21"/>
        <v>0</v>
      </c>
      <c r="R88">
        <f>S_1($C$1,A88)</f>
        <v>9.5010848377888996E-4</v>
      </c>
      <c r="T88">
        <f t="shared" si="22"/>
        <v>4.3375029592080405E-7</v>
      </c>
    </row>
    <row r="89" spans="1:20" x14ac:dyDescent="0.25">
      <c r="A89">
        <v>3.19999999999997</v>
      </c>
      <c r="B89">
        <f t="shared" si="20"/>
        <v>4.7393219080574499E-2</v>
      </c>
      <c r="C89">
        <f t="shared" si="19"/>
        <v>2.7929732905925743E-2</v>
      </c>
      <c r="D89">
        <f t="shared" si="19"/>
        <v>1.2629080422790079E-3</v>
      </c>
      <c r="E89">
        <f t="shared" si="19"/>
        <v>7.5303137397046822E-10</v>
      </c>
      <c r="F89">
        <f t="shared" si="19"/>
        <v>2.316823935366992E-50</v>
      </c>
      <c r="G89">
        <f t="shared" si="19"/>
        <v>0</v>
      </c>
      <c r="I89">
        <f t="shared" si="23"/>
        <v>0</v>
      </c>
      <c r="J89">
        <f t="shared" si="24"/>
        <v>0</v>
      </c>
      <c r="K89">
        <f t="shared" si="25"/>
        <v>0</v>
      </c>
      <c r="L89">
        <f t="shared" si="26"/>
        <v>0</v>
      </c>
      <c r="M89">
        <f t="shared" si="27"/>
        <v>0</v>
      </c>
      <c r="N89">
        <f t="shared" si="28"/>
        <v>0</v>
      </c>
      <c r="P89">
        <f t="shared" si="21"/>
        <v>0</v>
      </c>
      <c r="R89">
        <f>S_1($C$1,A89)</f>
        <v>7.0385767640768291E-4</v>
      </c>
      <c r="T89">
        <f t="shared" si="22"/>
        <v>2.5365280186266276E-7</v>
      </c>
    </row>
    <row r="90" spans="1:20" x14ac:dyDescent="0.25">
      <c r="A90">
        <v>3.2999999999999701</v>
      </c>
      <c r="B90">
        <f t="shared" si="20"/>
        <v>4.5154272576543503E-2</v>
      </c>
      <c r="C90">
        <f t="shared" si="19"/>
        <v>2.4563706718955938E-2</v>
      </c>
      <c r="D90">
        <f t="shared" si="19"/>
        <v>8.6701052020339846E-4</v>
      </c>
      <c r="E90">
        <f t="shared" si="19"/>
        <v>1.9587611483654163E-10</v>
      </c>
      <c r="F90">
        <f t="shared" si="19"/>
        <v>1.4907994703689746E-53</v>
      </c>
      <c r="G90">
        <f t="shared" si="19"/>
        <v>0</v>
      </c>
      <c r="I90">
        <f t="shared" si="23"/>
        <v>0</v>
      </c>
      <c r="J90">
        <f t="shared" si="24"/>
        <v>0</v>
      </c>
      <c r="K90">
        <f t="shared" si="25"/>
        <v>0</v>
      </c>
      <c r="L90">
        <f t="shared" si="26"/>
        <v>0</v>
      </c>
      <c r="M90">
        <f t="shared" si="27"/>
        <v>0</v>
      </c>
      <c r="N90">
        <f t="shared" si="28"/>
        <v>0</v>
      </c>
      <c r="P90">
        <f t="shared" si="21"/>
        <v>0</v>
      </c>
      <c r="R90">
        <f>S_1($C$1,A90)</f>
        <v>5.2143059144950756E-4</v>
      </c>
      <c r="T90">
        <f t="shared" si="22"/>
        <v>1.4804402969531148E-7</v>
      </c>
    </row>
    <row r="91" spans="1:20" x14ac:dyDescent="0.25">
      <c r="A91">
        <v>3.3999999999999702</v>
      </c>
      <c r="B91">
        <f t="shared" si="20"/>
        <v>4.2957085129497301E-2</v>
      </c>
      <c r="C91">
        <f t="shared" si="19"/>
        <v>2.1518150255513614E-2</v>
      </c>
      <c r="D91">
        <f t="shared" si="19"/>
        <v>5.8837055838266634E-4</v>
      </c>
      <c r="E91">
        <f t="shared" si="19"/>
        <v>4.8882687367620678E-11</v>
      </c>
      <c r="F91">
        <f t="shared" si="19"/>
        <v>7.6514938656715843E-57</v>
      </c>
      <c r="G91">
        <f t="shared" si="19"/>
        <v>0</v>
      </c>
      <c r="I91">
        <f t="shared" si="23"/>
        <v>0</v>
      </c>
      <c r="J91">
        <f t="shared" si="24"/>
        <v>0</v>
      </c>
      <c r="K91">
        <f t="shared" si="25"/>
        <v>0</v>
      </c>
      <c r="L91">
        <f t="shared" si="26"/>
        <v>0</v>
      </c>
      <c r="M91">
        <f t="shared" si="27"/>
        <v>0</v>
      </c>
      <c r="N91">
        <f t="shared" si="28"/>
        <v>0</v>
      </c>
      <c r="P91">
        <f t="shared" si="21"/>
        <v>0</v>
      </c>
      <c r="R91">
        <f>S_1($C$1,A91)</f>
        <v>3.8628528296663975E-4</v>
      </c>
      <c r="T91">
        <f t="shared" si="22"/>
        <v>8.6247032865563092E-8</v>
      </c>
    </row>
    <row r="92" spans="1:20" x14ac:dyDescent="0.25">
      <c r="A92">
        <v>3.4999999999999698</v>
      </c>
      <c r="B92">
        <f t="shared" si="20"/>
        <v>4.0806004271325337E-2</v>
      </c>
      <c r="C92">
        <f t="shared" si="19"/>
        <v>1.8775861778752432E-2</v>
      </c>
      <c r="D92">
        <f t="shared" si="19"/>
        <v>3.9468573109013914E-4</v>
      </c>
      <c r="E92">
        <f t="shared" si="19"/>
        <v>1.170398745932946E-11</v>
      </c>
      <c r="F92">
        <f t="shared" si="19"/>
        <v>3.1323771348803858E-60</v>
      </c>
      <c r="G92">
        <f t="shared" si="19"/>
        <v>0</v>
      </c>
      <c r="I92">
        <f t="shared" si="23"/>
        <v>0</v>
      </c>
      <c r="J92">
        <f t="shared" si="24"/>
        <v>0</v>
      </c>
      <c r="K92">
        <f t="shared" si="25"/>
        <v>0</v>
      </c>
      <c r="L92">
        <f t="shared" si="26"/>
        <v>0</v>
      </c>
      <c r="M92">
        <f t="shared" si="27"/>
        <v>0</v>
      </c>
      <c r="N92">
        <f t="shared" si="28"/>
        <v>0</v>
      </c>
      <c r="P92">
        <f t="shared" si="21"/>
        <v>0</v>
      </c>
      <c r="R92">
        <f>S_1($C$1,A92)</f>
        <v>2.8616717600288022E-4</v>
      </c>
      <c r="T92">
        <f t="shared" si="22"/>
        <v>5.0158637230645489E-8</v>
      </c>
    </row>
    <row r="93" spans="1:20" x14ac:dyDescent="0.25">
      <c r="A93">
        <v>3.5999999999999699</v>
      </c>
      <c r="B93">
        <f t="shared" si="20"/>
        <v>3.8704962318333182E-2</v>
      </c>
      <c r="C93">
        <f t="shared" si="19"/>
        <v>1.631844359328841E-2</v>
      </c>
      <c r="D93">
        <f t="shared" si="19"/>
        <v>2.6171333165163644E-4</v>
      </c>
      <c r="E93">
        <f t="shared" si="19"/>
        <v>2.6885480572696873E-12</v>
      </c>
      <c r="F93">
        <f t="shared" si="19"/>
        <v>1.0228281262231283E-63</v>
      </c>
      <c r="G93">
        <f t="shared" si="19"/>
        <v>0</v>
      </c>
      <c r="I93">
        <f t="shared" si="23"/>
        <v>0</v>
      </c>
      <c r="J93">
        <f t="shared" si="24"/>
        <v>0</v>
      </c>
      <c r="K93">
        <f t="shared" si="25"/>
        <v>0</v>
      </c>
      <c r="L93">
        <f t="shared" si="26"/>
        <v>0</v>
      </c>
      <c r="M93">
        <f t="shared" si="27"/>
        <v>0</v>
      </c>
      <c r="N93">
        <f t="shared" si="28"/>
        <v>0</v>
      </c>
      <c r="P93">
        <f t="shared" si="21"/>
        <v>0</v>
      </c>
      <c r="R93">
        <f>S_1($C$1,A93)</f>
        <v>2.1199785814396557E-4</v>
      </c>
      <c r="T93">
        <f t="shared" si="22"/>
        <v>2.9123123523743068E-8</v>
      </c>
    </row>
    <row r="94" spans="1:20" x14ac:dyDescent="0.25">
      <c r="A94">
        <v>3.69999999999997</v>
      </c>
      <c r="B94">
        <f t="shared" si="20"/>
        <v>3.6657474348058529E-2</v>
      </c>
      <c r="C94">
        <f t="shared" si="19"/>
        <v>1.4126725331413497E-2</v>
      </c>
      <c r="D94">
        <f t="shared" si="19"/>
        <v>1.7154347117686068E-4</v>
      </c>
      <c r="E94">
        <f t="shared" si="19"/>
        <v>5.9252535847866776E-13</v>
      </c>
      <c r="F94">
        <f t="shared" si="19"/>
        <v>2.663986900066219E-67</v>
      </c>
      <c r="G94">
        <f t="shared" si="19"/>
        <v>0</v>
      </c>
      <c r="I94">
        <f t="shared" si="23"/>
        <v>0</v>
      </c>
      <c r="J94">
        <f t="shared" si="24"/>
        <v>0</v>
      </c>
      <c r="K94">
        <f t="shared" si="25"/>
        <v>0</v>
      </c>
      <c r="L94">
        <f t="shared" si="26"/>
        <v>0</v>
      </c>
      <c r="M94">
        <f t="shared" si="27"/>
        <v>0</v>
      </c>
      <c r="N94">
        <f t="shared" si="28"/>
        <v>0</v>
      </c>
      <c r="P94">
        <f t="shared" si="21"/>
        <v>0</v>
      </c>
      <c r="R94">
        <f>S_1($C$1,A94)</f>
        <v>1.5705187605854798E-4</v>
      </c>
      <c r="T94">
        <f t="shared" si="22"/>
        <v>1.6883392218966992E-8</v>
      </c>
    </row>
    <row r="95" spans="1:20" x14ac:dyDescent="0.25">
      <c r="A95">
        <v>3.7999999999999701</v>
      </c>
      <c r="B95">
        <f t="shared" si="20"/>
        <v>3.4666639301581884E-2</v>
      </c>
      <c r="C95">
        <f t="shared" si="19"/>
        <v>1.2181146857603771E-2</v>
      </c>
      <c r="D95">
        <f t="shared" si="19"/>
        <v>1.1114667336652113E-4</v>
      </c>
      <c r="E95">
        <f t="shared" si="19"/>
        <v>1.2528563008079898E-13</v>
      </c>
      <c r="F95">
        <f t="shared" si="19"/>
        <v>5.5342951133161407E-71</v>
      </c>
      <c r="G95">
        <f t="shared" si="19"/>
        <v>0</v>
      </c>
      <c r="I95">
        <f t="shared" si="23"/>
        <v>0</v>
      </c>
      <c r="J95">
        <f t="shared" si="24"/>
        <v>0</v>
      </c>
      <c r="K95">
        <f t="shared" si="25"/>
        <v>0</v>
      </c>
      <c r="L95">
        <f t="shared" si="26"/>
        <v>0</v>
      </c>
      <c r="M95">
        <f t="shared" si="27"/>
        <v>0</v>
      </c>
      <c r="N95">
        <f t="shared" si="28"/>
        <v>0</v>
      </c>
      <c r="P95">
        <f t="shared" si="21"/>
        <v>0</v>
      </c>
      <c r="R95">
        <f>S_1($C$1,A95)</f>
        <v>1.1634689137641913E-4</v>
      </c>
      <c r="T95">
        <f t="shared" si="22"/>
        <v>9.7734245739942743E-9</v>
      </c>
    </row>
    <row r="96" spans="1:20" x14ac:dyDescent="0.25">
      <c r="A96">
        <v>3.8999999999999702</v>
      </c>
      <c r="B96">
        <f t="shared" si="20"/>
        <v>3.2735144040944152E-2</v>
      </c>
      <c r="C96">
        <f t="shared" si="19"/>
        <v>1.0462097631645104E-2</v>
      </c>
      <c r="D96">
        <f t="shared" si="19"/>
        <v>7.1185685420211626E-5</v>
      </c>
      <c r="E96">
        <f t="shared" si="19"/>
        <v>2.5415623191438527E-14</v>
      </c>
      <c r="F96">
        <f t="shared" si="19"/>
        <v>9.1705070504393473E-75</v>
      </c>
      <c r="G96">
        <f t="shared" si="19"/>
        <v>0</v>
      </c>
      <c r="I96">
        <f t="shared" si="23"/>
        <v>0</v>
      </c>
      <c r="J96">
        <f t="shared" si="24"/>
        <v>0</v>
      </c>
      <c r="K96">
        <f t="shared" si="25"/>
        <v>0</v>
      </c>
      <c r="L96">
        <f t="shared" si="26"/>
        <v>0</v>
      </c>
      <c r="M96">
        <f t="shared" si="27"/>
        <v>0</v>
      </c>
      <c r="N96">
        <f t="shared" si="28"/>
        <v>0</v>
      </c>
      <c r="P96">
        <f t="shared" si="21"/>
        <v>0</v>
      </c>
      <c r="R96">
        <f>S_1($C$1,A96)</f>
        <v>8.6191897051327848E-5</v>
      </c>
      <c r="T96">
        <f t="shared" si="22"/>
        <v>5.6497872907116577E-9</v>
      </c>
    </row>
    <row r="97" spans="1:20" x14ac:dyDescent="0.25">
      <c r="A97">
        <v>3.9999999999999698</v>
      </c>
      <c r="B97">
        <f t="shared" si="20"/>
        <v>3.0865270170232804E-2</v>
      </c>
      <c r="C97">
        <f t="shared" si="19"/>
        <v>8.950210906040439E-3</v>
      </c>
      <c r="D97">
        <f t="shared" si="19"/>
        <v>4.5067430814328514E-5</v>
      </c>
      <c r="E97">
        <f t="shared" si="19"/>
        <v>4.9465846622110871E-15</v>
      </c>
      <c r="F97">
        <f t="shared" si="19"/>
        <v>1.2120629899568436E-78</v>
      </c>
      <c r="G97">
        <f t="shared" si="19"/>
        <v>0</v>
      </c>
      <c r="I97">
        <f t="shared" si="23"/>
        <v>0</v>
      </c>
      <c r="J97">
        <f t="shared" si="24"/>
        <v>0</v>
      </c>
      <c r="K97">
        <f t="shared" si="25"/>
        <v>0</v>
      </c>
      <c r="L97">
        <f t="shared" si="26"/>
        <v>0</v>
      </c>
      <c r="M97">
        <f t="shared" si="27"/>
        <v>0</v>
      </c>
      <c r="N97">
        <f t="shared" si="28"/>
        <v>0</v>
      </c>
      <c r="P97">
        <f t="shared" si="21"/>
        <v>0</v>
      </c>
      <c r="R97">
        <f>S_1($C$1,A97)</f>
        <v>6.3852527810746577E-5</v>
      </c>
      <c r="T97">
        <f t="shared" si="22"/>
        <v>3.2617162462576825E-9</v>
      </c>
    </row>
    <row r="98" spans="1:20" x14ac:dyDescent="0.25">
      <c r="A98">
        <v>4.0999999999999703</v>
      </c>
      <c r="B98">
        <f t="shared" si="20"/>
        <v>2.9058903411175525E-2</v>
      </c>
      <c r="C98">
        <f t="shared" si="19"/>
        <v>7.6266125105574952E-3</v>
      </c>
      <c r="D98">
        <f t="shared" si="19"/>
        <v>2.8203750082063363E-5</v>
      </c>
      <c r="E98">
        <f t="shared" si="19"/>
        <v>9.2366675349212815E-16</v>
      </c>
      <c r="F98">
        <f t="shared" si="19"/>
        <v>1.2777851533259166E-82</v>
      </c>
      <c r="G98">
        <f t="shared" si="19"/>
        <v>0</v>
      </c>
      <c r="I98">
        <f t="shared" si="23"/>
        <v>0</v>
      </c>
      <c r="J98">
        <f t="shared" si="24"/>
        <v>0</v>
      </c>
      <c r="K98">
        <f t="shared" si="25"/>
        <v>0</v>
      </c>
      <c r="L98">
        <f t="shared" si="26"/>
        <v>0</v>
      </c>
      <c r="M98">
        <f t="shared" si="27"/>
        <v>0</v>
      </c>
      <c r="N98">
        <f t="shared" si="28"/>
        <v>0</v>
      </c>
      <c r="P98">
        <f t="shared" si="21"/>
        <v>0</v>
      </c>
      <c r="R98">
        <f>S_1($C$1,A98)</f>
        <v>4.730311603878707E-5</v>
      </c>
      <c r="T98">
        <f t="shared" si="22"/>
        <v>1.8806900134557843E-9</v>
      </c>
    </row>
    <row r="99" spans="1:20" x14ac:dyDescent="0.25">
      <c r="A99">
        <v>4.19999999999997</v>
      </c>
      <c r="B99">
        <f t="shared" si="20"/>
        <v>2.7317545309737564E-2</v>
      </c>
      <c r="C99">
        <f t="shared" si="19"/>
        <v>6.4731251719833665E-3</v>
      </c>
      <c r="D99">
        <f t="shared" si="19"/>
        <v>1.7447163943921929E-5</v>
      </c>
      <c r="E99">
        <f t="shared" si="19"/>
        <v>1.6547422627227419E-16</v>
      </c>
      <c r="F99">
        <f t="shared" si="19"/>
        <v>1.0744625705092026E-86</v>
      </c>
      <c r="G99">
        <f t="shared" si="19"/>
        <v>0</v>
      </c>
      <c r="I99">
        <f t="shared" si="23"/>
        <v>0</v>
      </c>
      <c r="J99">
        <f t="shared" si="24"/>
        <v>0</v>
      </c>
      <c r="K99">
        <f t="shared" si="25"/>
        <v>0</v>
      </c>
      <c r="L99">
        <f t="shared" si="26"/>
        <v>0</v>
      </c>
      <c r="M99">
        <f t="shared" si="27"/>
        <v>0</v>
      </c>
      <c r="N99">
        <f t="shared" si="28"/>
        <v>0</v>
      </c>
      <c r="P99">
        <f t="shared" si="21"/>
        <v>0</v>
      </c>
      <c r="R99">
        <f>S_1($C$1,A99)</f>
        <v>3.5043010256555164E-5</v>
      </c>
      <c r="T99">
        <f t="shared" si="22"/>
        <v>1.0831070848357734E-9</v>
      </c>
    </row>
    <row r="100" spans="1:20" x14ac:dyDescent="0.25">
      <c r="A100">
        <v>4.2999999999999696</v>
      </c>
      <c r="B100">
        <f t="shared" si="20"/>
        <v>2.5642327039256035E-2</v>
      </c>
      <c r="C100">
        <f t="shared" si="19"/>
        <v>5.4724303164467667E-3</v>
      </c>
      <c r="D100">
        <f t="shared" si="19"/>
        <v>1.0668828982922501E-5</v>
      </c>
      <c r="E100">
        <f t="shared" si="19"/>
        <v>2.8441374972451429E-17</v>
      </c>
      <c r="F100">
        <f t="shared" si="19"/>
        <v>7.2065192456325914E-91</v>
      </c>
      <c r="G100">
        <f t="shared" si="19"/>
        <v>0</v>
      </c>
      <c r="I100">
        <f t="shared" si="23"/>
        <v>0</v>
      </c>
      <c r="J100">
        <f t="shared" si="24"/>
        <v>0</v>
      </c>
      <c r="K100">
        <f t="shared" si="25"/>
        <v>0</v>
      </c>
      <c r="L100">
        <f t="shared" si="26"/>
        <v>0</v>
      </c>
      <c r="M100">
        <f t="shared" si="27"/>
        <v>0</v>
      </c>
      <c r="N100">
        <f t="shared" si="28"/>
        <v>0</v>
      </c>
      <c r="P100">
        <f t="shared" si="21"/>
        <v>0</v>
      </c>
      <c r="R100">
        <f>S_1($C$1,A100)</f>
        <v>2.5960500505592367E-5</v>
      </c>
      <c r="T100">
        <f t="shared" si="22"/>
        <v>6.2306454372003778E-10</v>
      </c>
    </row>
    <row r="101" spans="1:20" x14ac:dyDescent="0.25">
      <c r="A101">
        <v>4.3999999999999702</v>
      </c>
      <c r="B101">
        <f t="shared" si="20"/>
        <v>2.4034025058015284E-2</v>
      </c>
      <c r="C101">
        <f t="shared" si="19"/>
        <v>4.6081901002161642E-3</v>
      </c>
      <c r="D101">
        <f t="shared" si="19"/>
        <v>6.4488547102326491E-6</v>
      </c>
      <c r="E101">
        <f t="shared" si="19"/>
        <v>4.6900340858130897E-18</v>
      </c>
      <c r="F101">
        <f t="shared" si="19"/>
        <v>3.8553216441320092E-95</v>
      </c>
      <c r="G101">
        <f t="shared" si="19"/>
        <v>0</v>
      </c>
      <c r="I101">
        <f t="shared" si="23"/>
        <v>0</v>
      </c>
      <c r="J101">
        <f t="shared" si="24"/>
        <v>0</v>
      </c>
      <c r="K101">
        <f t="shared" si="25"/>
        <v>0</v>
      </c>
      <c r="L101">
        <f t="shared" si="26"/>
        <v>0</v>
      </c>
      <c r="M101">
        <f t="shared" si="27"/>
        <v>0</v>
      </c>
      <c r="N101">
        <f t="shared" si="28"/>
        <v>0</v>
      </c>
      <c r="P101">
        <f t="shared" si="21"/>
        <v>0</v>
      </c>
      <c r="R101">
        <f>S_1($C$1,A101)</f>
        <v>1.9232011792559762E-5</v>
      </c>
      <c r="T101">
        <f t="shared" si="22"/>
        <v>3.5803442870629985E-10</v>
      </c>
    </row>
    <row r="102" spans="1:20" x14ac:dyDescent="0.25">
      <c r="A102">
        <v>4.4999999999999698</v>
      </c>
      <c r="B102">
        <f t="shared" si="20"/>
        <v>2.2493078374776047E-2</v>
      </c>
      <c r="C102">
        <f t="shared" si="19"/>
        <v>3.8651330158404633E-3</v>
      </c>
      <c r="D102">
        <f t="shared" si="19"/>
        <v>3.8532071624694123E-6</v>
      </c>
      <c r="E102">
        <f t="shared" si="19"/>
        <v>7.4200459003402083E-19</v>
      </c>
      <c r="F102">
        <f t="shared" si="19"/>
        <v>1.6451158562745188E-99</v>
      </c>
      <c r="G102">
        <f t="shared" si="19"/>
        <v>0</v>
      </c>
      <c r="I102">
        <f t="shared" si="23"/>
        <v>0</v>
      </c>
      <c r="J102">
        <f t="shared" si="24"/>
        <v>0</v>
      </c>
      <c r="K102">
        <f t="shared" si="25"/>
        <v>0</v>
      </c>
      <c r="L102">
        <f t="shared" si="26"/>
        <v>0</v>
      </c>
      <c r="M102">
        <f t="shared" si="27"/>
        <v>0</v>
      </c>
      <c r="N102">
        <f t="shared" si="28"/>
        <v>0</v>
      </c>
      <c r="P102">
        <f t="shared" si="21"/>
        <v>0</v>
      </c>
      <c r="R102">
        <f>S_1($C$1,A102)</f>
        <v>1.4247424756293952E-5</v>
      </c>
      <c r="T102">
        <f t="shared" si="22"/>
        <v>2.0552647608858328E-10</v>
      </c>
    </row>
    <row r="103" spans="1:20" x14ac:dyDescent="0.25">
      <c r="A103">
        <v>4.5999999999999703</v>
      </c>
      <c r="B103">
        <f t="shared" si="20"/>
        <v>2.1019607174484364E-2</v>
      </c>
      <c r="C103">
        <f t="shared" si="19"/>
        <v>3.2291068337286033E-3</v>
      </c>
      <c r="D103">
        <f t="shared" si="19"/>
        <v>2.2758102679673425E-6</v>
      </c>
      <c r="E103">
        <f t="shared" si="19"/>
        <v>1.126269611842916E-19</v>
      </c>
      <c r="F103">
        <f t="shared" si="19"/>
        <v>5.5992926432290106E-104</v>
      </c>
      <c r="G103">
        <f t="shared" si="19"/>
        <v>0</v>
      </c>
      <c r="I103">
        <f t="shared" si="23"/>
        <v>0</v>
      </c>
      <c r="J103">
        <f t="shared" si="24"/>
        <v>0</v>
      </c>
      <c r="K103">
        <f t="shared" si="25"/>
        <v>0</v>
      </c>
      <c r="L103">
        <f t="shared" si="26"/>
        <v>0</v>
      </c>
      <c r="M103">
        <f t="shared" si="27"/>
        <v>0</v>
      </c>
      <c r="N103">
        <f t="shared" si="28"/>
        <v>0</v>
      </c>
      <c r="P103">
        <f t="shared" si="21"/>
        <v>0</v>
      </c>
      <c r="R103">
        <f>S_1($C$1,A103)</f>
        <v>1.0554751857254318E-5</v>
      </c>
      <c r="T103">
        <f t="shared" si="22"/>
        <v>1.1786414840076832E-10</v>
      </c>
    </row>
    <row r="104" spans="1:20" x14ac:dyDescent="0.25">
      <c r="A104">
        <v>4.69999999999997</v>
      </c>
      <c r="B104">
        <f t="shared" si="20"/>
        <v>1.961343255803356E-2</v>
      </c>
      <c r="C104">
        <f t="shared" si="19"/>
        <v>2.6871028799351515E-3</v>
      </c>
      <c r="D104">
        <f t="shared" si="19"/>
        <v>1.32869002166143E-6</v>
      </c>
      <c r="E104">
        <f t="shared" si="19"/>
        <v>1.6401490735052475E-20</v>
      </c>
      <c r="F104">
        <f t="shared" si="19"/>
        <v>1.5200947189723237E-108</v>
      </c>
      <c r="G104">
        <f t="shared" si="19"/>
        <v>0</v>
      </c>
      <c r="I104">
        <f t="shared" si="23"/>
        <v>0</v>
      </c>
      <c r="J104">
        <f t="shared" si="24"/>
        <v>0</v>
      </c>
      <c r="K104">
        <f t="shared" si="25"/>
        <v>0</v>
      </c>
      <c r="L104">
        <f t="shared" si="26"/>
        <v>0</v>
      </c>
      <c r="M104">
        <f t="shared" si="27"/>
        <v>0</v>
      </c>
      <c r="N104">
        <f t="shared" si="28"/>
        <v>0</v>
      </c>
      <c r="P104">
        <f t="shared" si="21"/>
        <v>0</v>
      </c>
      <c r="R104">
        <f>S_1($C$1,A104)</f>
        <v>7.8191524906282222E-6</v>
      </c>
      <c r="T104">
        <f t="shared" si="22"/>
        <v>6.7528186394389064E-11</v>
      </c>
    </row>
    <row r="105" spans="1:20" x14ac:dyDescent="0.25">
      <c r="A105">
        <v>4.7999999999999696</v>
      </c>
      <c r="B105">
        <f t="shared" si="20"/>
        <v>1.8274097154327956E-2</v>
      </c>
      <c r="C105">
        <f t="shared" si="19"/>
        <v>2.2272557380965774E-3</v>
      </c>
      <c r="D105">
        <f t="shared" si="19"/>
        <v>7.6680550452953669E-7</v>
      </c>
      <c r="E105">
        <f t="shared" si="19"/>
        <v>2.2915506523591403E-21</v>
      </c>
      <c r="F105">
        <f t="shared" si="19"/>
        <v>3.2916142995675668E-113</v>
      </c>
      <c r="G105">
        <f t="shared" si="19"/>
        <v>0</v>
      </c>
      <c r="I105">
        <f t="shared" si="23"/>
        <v>0</v>
      </c>
      <c r="J105">
        <f t="shared" si="24"/>
        <v>0</v>
      </c>
      <c r="K105">
        <f t="shared" si="25"/>
        <v>0</v>
      </c>
      <c r="L105">
        <f t="shared" si="26"/>
        <v>0</v>
      </c>
      <c r="M105">
        <f t="shared" si="27"/>
        <v>0</v>
      </c>
      <c r="N105">
        <f t="shared" si="28"/>
        <v>0</v>
      </c>
      <c r="P105">
        <f t="shared" si="21"/>
        <v>0</v>
      </c>
      <c r="R105">
        <f>S_1($C$1,A105)</f>
        <v>5.7925706353462176E-6</v>
      </c>
      <c r="T105">
        <f t="shared" si="22"/>
        <v>3.8654063499427035E-11</v>
      </c>
    </row>
    <row r="106" spans="1:20" x14ac:dyDescent="0.25">
      <c r="A106">
        <v>4.8999999999999604</v>
      </c>
      <c r="B106">
        <f t="shared" si="20"/>
        <v>1.7000886369774714E-2</v>
      </c>
      <c r="C106">
        <f t="shared" si="19"/>
        <v>1.8388224187493557E-3</v>
      </c>
      <c r="D106">
        <f t="shared" si="19"/>
        <v>4.3744222053107572E-7</v>
      </c>
      <c r="E106">
        <f t="shared" si="19"/>
        <v>3.0717140312672656E-22</v>
      </c>
      <c r="F106">
        <f t="shared" si="19"/>
        <v>5.6852299672740842E-118</v>
      </c>
      <c r="G106">
        <f t="shared" si="19"/>
        <v>0</v>
      </c>
      <c r="I106">
        <f t="shared" si="23"/>
        <v>0</v>
      </c>
      <c r="J106">
        <f t="shared" si="24"/>
        <v>0</v>
      </c>
      <c r="K106">
        <f t="shared" si="25"/>
        <v>0</v>
      </c>
      <c r="L106">
        <f t="shared" si="26"/>
        <v>0</v>
      </c>
      <c r="M106">
        <f t="shared" si="27"/>
        <v>0</v>
      </c>
      <c r="N106">
        <f t="shared" si="28"/>
        <v>0</v>
      </c>
      <c r="P106">
        <f t="shared" si="21"/>
        <v>0</v>
      </c>
      <c r="R106">
        <f>S_1($C$1,A106)</f>
        <v>4.2912418712504723E-6</v>
      </c>
      <c r="T106">
        <f t="shared" si="22"/>
        <v>2.2106915535486337E-11</v>
      </c>
    </row>
    <row r="107" spans="1:20" x14ac:dyDescent="0.25">
      <c r="A107">
        <v>4.99999999999996</v>
      </c>
      <c r="B107">
        <f t="shared" si="20"/>
        <v>1.579285004945552E-2</v>
      </c>
      <c r="C107">
        <f t="shared" si="19"/>
        <v>1.5121448855301529E-3</v>
      </c>
      <c r="D107">
        <f t="shared" si="19"/>
        <v>2.4667781925857874E-7</v>
      </c>
      <c r="E107">
        <f t="shared" si="19"/>
        <v>3.9503655351126806E-23</v>
      </c>
      <c r="F107">
        <f t="shared" si="19"/>
        <v>7.8322752034097814E-123</v>
      </c>
      <c r="G107">
        <f t="shared" si="19"/>
        <v>0</v>
      </c>
      <c r="I107">
        <f t="shared" si="23"/>
        <v>0</v>
      </c>
      <c r="J107">
        <f t="shared" si="24"/>
        <v>0</v>
      </c>
      <c r="K107">
        <f t="shared" si="25"/>
        <v>0</v>
      </c>
      <c r="L107">
        <f t="shared" si="26"/>
        <v>0</v>
      </c>
      <c r="M107">
        <f t="shared" si="27"/>
        <v>0</v>
      </c>
      <c r="N107">
        <f t="shared" si="28"/>
        <v>0</v>
      </c>
      <c r="P107">
        <f t="shared" si="21"/>
        <v>0</v>
      </c>
      <c r="R107">
        <f>S_1($C$1,A107)</f>
        <v>3.1790301675746693E-6</v>
      </c>
      <c r="T107">
        <f t="shared" si="22"/>
        <v>1.2632791007937088E-11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4"/>
  <sheetViews>
    <sheetView workbookViewId="0">
      <selection activeCell="M28" sqref="M28"/>
    </sheetView>
  </sheetViews>
  <sheetFormatPr defaultRowHeight="15" x14ac:dyDescent="0.25"/>
  <cols>
    <col min="17" max="17" width="12" bestFit="1" customWidth="1"/>
  </cols>
  <sheetData>
    <row r="1" spans="1:17" x14ac:dyDescent="0.25">
      <c r="A1">
        <v>0</v>
      </c>
      <c r="B1">
        <f>S_1(1,A1)</f>
        <v>2</v>
      </c>
      <c r="C1">
        <f>S_2(1,A1)</f>
        <v>0.70710678118654757</v>
      </c>
    </row>
    <row r="2" spans="1:17" x14ac:dyDescent="0.25">
      <c r="A2">
        <v>0.1</v>
      </c>
      <c r="B2">
        <f t="shared" ref="B2:B65" si="0">S_1(1,A2)</f>
        <v>1.809674836071919</v>
      </c>
      <c r="C2">
        <f t="shared" ref="C2:C65" si="1">S_2(1,A2)</f>
        <v>0.63898973770220036</v>
      </c>
    </row>
    <row r="3" spans="1:17" x14ac:dyDescent="0.25">
      <c r="A3">
        <v>0.2</v>
      </c>
      <c r="B3">
        <f t="shared" si="0"/>
        <v>1.6374615061559636</v>
      </c>
      <c r="C3">
        <f t="shared" si="1"/>
        <v>0.57583500674809851</v>
      </c>
    </row>
    <row r="4" spans="1:17" x14ac:dyDescent="0.25">
      <c r="A4">
        <v>0.3</v>
      </c>
      <c r="B4">
        <f t="shared" si="0"/>
        <v>1.4816364413634358</v>
      </c>
      <c r="C4">
        <f t="shared" si="1"/>
        <v>0.51732057973878309</v>
      </c>
    </row>
    <row r="5" spans="1:17" x14ac:dyDescent="0.25">
      <c r="A5">
        <v>0.4</v>
      </c>
      <c r="B5">
        <f t="shared" si="0"/>
        <v>1.3406400920712787</v>
      </c>
      <c r="C5">
        <f t="shared" si="1"/>
        <v>0.46314405397392788</v>
      </c>
    </row>
    <row r="6" spans="1:17" x14ac:dyDescent="0.25">
      <c r="A6">
        <v>0.5</v>
      </c>
      <c r="B6">
        <f t="shared" si="0"/>
        <v>1.2130613194252668</v>
      </c>
      <c r="C6">
        <f t="shared" si="1"/>
        <v>0.41302148617738788</v>
      </c>
      <c r="Q6" t="e">
        <f>S</f>
        <v>#NAME?</v>
      </c>
    </row>
    <row r="7" spans="1:17" x14ac:dyDescent="0.25">
      <c r="A7">
        <v>0.6</v>
      </c>
      <c r="B7">
        <f t="shared" si="0"/>
        <v>1.097623272188053</v>
      </c>
      <c r="C7">
        <f t="shared" si="1"/>
        <v>0.36668631122941647</v>
      </c>
    </row>
    <row r="8" spans="1:17" x14ac:dyDescent="0.25">
      <c r="A8">
        <v>0.7</v>
      </c>
      <c r="B8">
        <f t="shared" si="0"/>
        <v>0.99317060758281905</v>
      </c>
      <c r="C8">
        <f t="shared" si="1"/>
        <v>0.32388832245997273</v>
      </c>
    </row>
    <row r="9" spans="1:17" x14ac:dyDescent="0.25">
      <c r="A9">
        <v>0.8</v>
      </c>
      <c r="B9">
        <f t="shared" si="0"/>
        <v>0.89865792823444313</v>
      </c>
      <c r="C9">
        <f t="shared" si="1"/>
        <v>0.28439271007024758</v>
      </c>
    </row>
    <row r="10" spans="1:17" x14ac:dyDescent="0.25">
      <c r="A10">
        <v>0.9</v>
      </c>
      <c r="B10">
        <f t="shared" si="0"/>
        <v>0.81313931948119822</v>
      </c>
      <c r="C10">
        <f t="shared" si="1"/>
        <v>0.24797915443796006</v>
      </c>
    </row>
    <row r="11" spans="1:17" x14ac:dyDescent="0.25">
      <c r="A11">
        <v>1</v>
      </c>
      <c r="B11">
        <f t="shared" si="0"/>
        <v>0.73575888234288467</v>
      </c>
      <c r="C11">
        <f t="shared" si="1"/>
        <v>0.21444097124017672</v>
      </c>
    </row>
    <row r="12" spans="1:17" x14ac:dyDescent="0.25">
      <c r="A12">
        <v>1.1000000000000001</v>
      </c>
      <c r="B12">
        <f t="shared" si="0"/>
        <v>0.6657421673961591</v>
      </c>
      <c r="C12">
        <f t="shared" si="1"/>
        <v>0.18358430549595067</v>
      </c>
      <c r="L12" t="e">
        <f ca="1">S1(3)</f>
        <v>#REF!</v>
      </c>
      <c r="O12" t="e">
        <f ca="1">S1(122)</f>
        <v>#REF!</v>
      </c>
      <c r="Q12" t="e">
        <f>S_1(3)</f>
        <v>#VALUE!</v>
      </c>
    </row>
    <row r="13" spans="1:17" x14ac:dyDescent="0.25">
      <c r="A13">
        <v>1.2</v>
      </c>
      <c r="B13">
        <f t="shared" si="0"/>
        <v>0.60238842382440427</v>
      </c>
      <c r="C13">
        <f t="shared" si="1"/>
        <v>0.155227371790468</v>
      </c>
    </row>
    <row r="14" spans="1:17" x14ac:dyDescent="0.25">
      <c r="A14">
        <v>1.3</v>
      </c>
      <c r="B14">
        <f t="shared" si="0"/>
        <v>0.54506358606802519</v>
      </c>
      <c r="C14">
        <f t="shared" si="1"/>
        <v>0.12919973809312957</v>
      </c>
    </row>
    <row r="15" spans="1:17" x14ac:dyDescent="0.25">
      <c r="A15">
        <v>1.4</v>
      </c>
      <c r="B15">
        <f t="shared" si="0"/>
        <v>0.49319392788321298</v>
      </c>
      <c r="C15">
        <f t="shared" si="1"/>
        <v>0.10534165072454627</v>
      </c>
      <c r="I15" t="e">
        <f ca="1">S1(J10)</f>
        <v>#REF!</v>
      </c>
      <c r="Q15" t="e">
        <f>S_1(1,3,2)</f>
        <v>#VALUE!</v>
      </c>
    </row>
    <row r="16" spans="1:17" x14ac:dyDescent="0.25">
      <c r="A16">
        <v>1.5</v>
      </c>
      <c r="B16">
        <f t="shared" si="0"/>
        <v>0.44626032029685964</v>
      </c>
      <c r="C16">
        <f t="shared" si="1"/>
        <v>8.3503398162221118E-2</v>
      </c>
    </row>
    <row r="17" spans="1:15" x14ac:dyDescent="0.25">
      <c r="A17">
        <v>1.6</v>
      </c>
      <c r="B17">
        <f t="shared" si="0"/>
        <v>0.40379303598931077</v>
      </c>
      <c r="C17">
        <f t="shared" si="1"/>
        <v>6.3544711502162843E-2</v>
      </c>
    </row>
    <row r="18" spans="1:15" x14ac:dyDescent="0.25">
      <c r="A18">
        <v>1.7</v>
      </c>
      <c r="B18">
        <f t="shared" si="0"/>
        <v>0.36536704810546933</v>
      </c>
      <c r="C18">
        <f t="shared" si="1"/>
        <v>4.5334199514199723E-2</v>
      </c>
    </row>
    <row r="19" spans="1:15" x14ac:dyDescent="0.25">
      <c r="A19">
        <v>1.8</v>
      </c>
      <c r="B19">
        <f t="shared" si="0"/>
        <v>0.33059777644317306</v>
      </c>
      <c r="C19">
        <f t="shared" si="1"/>
        <v>2.8748816342728484E-2</v>
      </c>
      <c r="O19" t="e">
        <f ca="1">S1(6)</f>
        <v>#REF!</v>
      </c>
    </row>
    <row r="20" spans="1:15" x14ac:dyDescent="0.25">
      <c r="A20">
        <v>1.9</v>
      </c>
      <c r="B20">
        <f t="shared" si="0"/>
        <v>0.29913723844527013</v>
      </c>
      <c r="C20">
        <f t="shared" si="1"/>
        <v>1.3673360012385186E-2</v>
      </c>
    </row>
    <row r="21" spans="1:15" x14ac:dyDescent="0.25">
      <c r="A21">
        <v>2</v>
      </c>
      <c r="B21">
        <f t="shared" si="0"/>
        <v>0.2706705664732254</v>
      </c>
      <c r="C21">
        <f t="shared" si="1"/>
        <v>0</v>
      </c>
    </row>
    <row r="22" spans="1:15" x14ac:dyDescent="0.25">
      <c r="A22">
        <v>2.1</v>
      </c>
      <c r="B22">
        <f t="shared" si="0"/>
        <v>0.24491285650596381</v>
      </c>
      <c r="C22">
        <f t="shared" si="1"/>
        <v>-1.2372167769482747E-2</v>
      </c>
    </row>
    <row r="23" spans="1:15" x14ac:dyDescent="0.25">
      <c r="A23">
        <v>2.2000000000000002</v>
      </c>
      <c r="B23">
        <f t="shared" si="0"/>
        <v>0.22160631672466774</v>
      </c>
      <c r="C23">
        <f t="shared" si="1"/>
        <v>-2.3537540054382713E-2</v>
      </c>
    </row>
    <row r="24" spans="1:15" x14ac:dyDescent="0.25">
      <c r="A24">
        <v>2.2999999999999998</v>
      </c>
      <c r="B24">
        <f t="shared" si="0"/>
        <v>0.2005176874456075</v>
      </c>
      <c r="C24">
        <f t="shared" si="1"/>
        <v>-3.3584401020139411E-2</v>
      </c>
    </row>
    <row r="25" spans="1:15" x14ac:dyDescent="0.25">
      <c r="A25">
        <v>2.4</v>
      </c>
      <c r="B25">
        <f t="shared" si="0"/>
        <v>0.18143590657882502</v>
      </c>
      <c r="C25">
        <f t="shared" si="1"/>
        <v>-4.2595293939451218E-2</v>
      </c>
    </row>
    <row r="26" spans="1:15" x14ac:dyDescent="0.25">
      <c r="A26">
        <v>2.5</v>
      </c>
      <c r="B26">
        <f t="shared" si="0"/>
        <v>0.1641699972477976</v>
      </c>
      <c r="C26">
        <f t="shared" si="1"/>
        <v>-5.0647371175578673E-2</v>
      </c>
    </row>
    <row r="27" spans="1:15" x14ac:dyDescent="0.25">
      <c r="A27">
        <v>2.6</v>
      </c>
      <c r="B27">
        <f t="shared" si="0"/>
        <v>0.14854715642866775</v>
      </c>
      <c r="C27">
        <f t="shared" si="1"/>
        <v>-5.7812723682983715E-2</v>
      </c>
    </row>
    <row r="28" spans="1:15" x14ac:dyDescent="0.25">
      <c r="A28">
        <v>2.7</v>
      </c>
      <c r="B28">
        <f t="shared" si="0"/>
        <v>0.13441102547949951</v>
      </c>
      <c r="C28">
        <f t="shared" si="1"/>
        <v>-6.4158691190747297E-2</v>
      </c>
    </row>
    <row r="29" spans="1:15" x14ac:dyDescent="0.25">
      <c r="A29">
        <v>2.8</v>
      </c>
      <c r="B29">
        <f t="shared" si="0"/>
        <v>0.12162012525043595</v>
      </c>
      <c r="C29">
        <f t="shared" si="1"/>
        <v>-6.9748154169249788E-2</v>
      </c>
    </row>
    <row r="30" spans="1:15" x14ac:dyDescent="0.25">
      <c r="A30">
        <v>2.9</v>
      </c>
      <c r="B30">
        <f t="shared" si="0"/>
        <v>0.11004644011281446</v>
      </c>
      <c r="C30">
        <f t="shared" si="1"/>
        <v>-7.4639808619202871E-2</v>
      </c>
    </row>
    <row r="31" spans="1:15" x14ac:dyDescent="0.25">
      <c r="A31">
        <v>3</v>
      </c>
      <c r="B31">
        <f t="shared" si="0"/>
        <v>9.9574136735727889E-2</v>
      </c>
      <c r="C31">
        <f t="shared" si="1"/>
        <v>-7.888842466409754E-2</v>
      </c>
    </row>
    <row r="32" spans="1:15" x14ac:dyDescent="0.25">
      <c r="A32">
        <v>3.1</v>
      </c>
      <c r="B32">
        <f t="shared" si="0"/>
        <v>9.0098404787115602E-2</v>
      </c>
      <c r="C32">
        <f t="shared" si="1"/>
        <v>-8.2545089872297181E-2</v>
      </c>
    </row>
    <row r="33" spans="1:3" x14ac:dyDescent="0.25">
      <c r="A33">
        <v>3.2</v>
      </c>
      <c r="B33">
        <f t="shared" si="0"/>
        <v>8.1524407956732423E-2</v>
      </c>
      <c r="C33">
        <f t="shared" si="1"/>
        <v>-8.565743818318361E-2</v>
      </c>
    </row>
    <row r="34" spans="1:3" x14ac:dyDescent="0.25">
      <c r="A34">
        <v>3.3</v>
      </c>
      <c r="B34">
        <f t="shared" si="0"/>
        <v>7.376633480248003E-2</v>
      </c>
      <c r="C34">
        <f t="shared" si="1"/>
        <v>-8.8269865262794817E-2</v>
      </c>
    </row>
    <row r="35" spans="1:3" x14ac:dyDescent="0.25">
      <c r="A35">
        <v>3.4</v>
      </c>
      <c r="B35">
        <f t="shared" si="0"/>
        <v>6.6746539920652159E-2</v>
      </c>
      <c r="C35">
        <f t="shared" si="1"/>
        <v>-9.0423731068121113E-2</v>
      </c>
    </row>
    <row r="36" spans="1:3" x14ac:dyDescent="0.25">
      <c r="A36">
        <v>3.5</v>
      </c>
      <c r="B36">
        <f t="shared" si="0"/>
        <v>6.0394766844637002E-2</v>
      </c>
      <c r="C36">
        <f t="shared" si="1"/>
        <v>-9.2157550355503062E-2</v>
      </c>
    </row>
    <row r="37" spans="1:3" x14ac:dyDescent="0.25">
      <c r="A37">
        <v>3.6</v>
      </c>
      <c r="B37">
        <f t="shared" si="0"/>
        <v>5.4647444894585118E-2</v>
      </c>
      <c r="C37">
        <f t="shared" si="1"/>
        <v>-9.3507171827264784E-2</v>
      </c>
    </row>
    <row r="38" spans="1:3" x14ac:dyDescent="0.25">
      <c r="A38">
        <v>3.7</v>
      </c>
      <c r="B38">
        <f t="shared" si="0"/>
        <v>4.9447052940678776E-2</v>
      </c>
      <c r="C38">
        <f t="shared" si="1"/>
        <v>-9.4505946571684624E-2</v>
      </c>
    </row>
    <row r="39" spans="1:3" x14ac:dyDescent="0.25">
      <c r="A39">
        <v>3.8</v>
      </c>
      <c r="B39">
        <f t="shared" si="0"/>
        <v>4.4741543712331203E-2</v>
      </c>
      <c r="C39">
        <f t="shared" si="1"/>
        <v>-9.5184886414530462E-2</v>
      </c>
    </row>
    <row r="40" spans="1:3" x14ac:dyDescent="0.25">
      <c r="A40">
        <v>3.9</v>
      </c>
      <c r="B40">
        <f t="shared" si="0"/>
        <v>4.0483822891608783E-2</v>
      </c>
      <c r="C40">
        <f t="shared" si="1"/>
        <v>-9.5572812765551865E-2</v>
      </c>
    </row>
    <row r="41" spans="1:3" x14ac:dyDescent="0.25">
      <c r="A41">
        <v>4</v>
      </c>
      <c r="B41">
        <f t="shared" si="0"/>
        <v>3.6631277777468357E-2</v>
      </c>
      <c r="C41">
        <f t="shared" si="1"/>
        <v>-9.5696496510410942E-2</v>
      </c>
    </row>
    <row r="42" spans="1:3" x14ac:dyDescent="0.25">
      <c r="A42">
        <v>4.0999999999999996</v>
      </c>
      <c r="B42">
        <f t="shared" si="0"/>
        <v>3.3145350803522509E-2</v>
      </c>
      <c r="C42">
        <f t="shared" si="1"/>
        <v>-9.5580789467449412E-2</v>
      </c>
    </row>
    <row r="43" spans="1:3" x14ac:dyDescent="0.25">
      <c r="A43">
        <v>4.2</v>
      </c>
      <c r="B43">
        <f t="shared" si="0"/>
        <v>2.9991153640955406E-2</v>
      </c>
      <c r="C43">
        <f t="shared" si="1"/>
        <v>-9.5248747899324193E-2</v>
      </c>
    </row>
    <row r="44" spans="1:3" x14ac:dyDescent="0.25">
      <c r="A44">
        <v>4.3</v>
      </c>
      <c r="B44">
        <f t="shared" si="0"/>
        <v>2.7137118024401868E-2</v>
      </c>
      <c r="C44">
        <f t="shared" si="1"/>
        <v>-9.4721748541809897E-2</v>
      </c>
    </row>
    <row r="45" spans="1:3" x14ac:dyDescent="0.25">
      <c r="A45">
        <v>4.4000000000000004</v>
      </c>
      <c r="B45">
        <f t="shared" si="0"/>
        <v>2.4554679806136872E-2</v>
      </c>
      <c r="C45">
        <f t="shared" si="1"/>
        <v>-9.4019597585871847E-2</v>
      </c>
    </row>
    <row r="46" spans="1:3" x14ac:dyDescent="0.25">
      <c r="A46">
        <v>4.5</v>
      </c>
      <c r="B46">
        <f t="shared" si="0"/>
        <v>2.2217993076484612E-2</v>
      </c>
      <c r="C46">
        <f t="shared" si="1"/>
        <v>-9.3160633024372483E-2</v>
      </c>
    </row>
    <row r="47" spans="1:3" x14ac:dyDescent="0.25">
      <c r="A47">
        <v>4.5999999999999996</v>
      </c>
      <c r="B47">
        <f t="shared" si="0"/>
        <v>2.0103671489267172E-2</v>
      </c>
      <c r="C47">
        <f t="shared" si="1"/>
        <v>-9.216182075141191E-2</v>
      </c>
    </row>
    <row r="48" spans="1:3" x14ac:dyDescent="0.25">
      <c r="A48">
        <v>4.7</v>
      </c>
      <c r="B48">
        <f t="shared" si="0"/>
        <v>1.8190554203391631E-2</v>
      </c>
      <c r="C48">
        <f t="shared" si="1"/>
        <v>-9.1038844780238257E-2</v>
      </c>
    </row>
    <row r="49" spans="1:3" x14ac:dyDescent="0.25">
      <c r="A49">
        <v>4.8</v>
      </c>
      <c r="B49">
        <f t="shared" si="0"/>
        <v>1.645949409804006E-2</v>
      </c>
      <c r="C49">
        <f t="shared" si="1"/>
        <v>-8.9806191924831275E-2</v>
      </c>
    </row>
    <row r="50" spans="1:3" x14ac:dyDescent="0.25">
      <c r="A50">
        <v>4.9000000000000004</v>
      </c>
      <c r="B50">
        <f t="shared" si="0"/>
        <v>1.4893166141848676E-2</v>
      </c>
      <c r="C50">
        <f t="shared" si="1"/>
        <v>-8.8477231270588555E-2</v>
      </c>
    </row>
    <row r="51" spans="1:3" x14ac:dyDescent="0.25">
      <c r="A51">
        <v>5</v>
      </c>
      <c r="B51">
        <f t="shared" si="0"/>
        <v>1.3475893998170934E-2</v>
      </c>
      <c r="C51">
        <f t="shared" si="1"/>
        <v>-8.7064288740970899E-2</v>
      </c>
    </row>
    <row r="52" spans="1:3" x14ac:dyDescent="0.25">
      <c r="A52">
        <v>5.0999999999999996</v>
      </c>
      <c r="B52">
        <f t="shared" si="0"/>
        <v>1.2193493131031276E-2</v>
      </c>
      <c r="C52">
        <f t="shared" si="1"/>
        <v>-8.5578717049425684E-2</v>
      </c>
    </row>
    <row r="53" spans="1:3" x14ac:dyDescent="0.25">
      <c r="A53">
        <v>5.2</v>
      </c>
      <c r="B53">
        <f t="shared" si="0"/>
        <v>1.1033128841521543E-2</v>
      </c>
      <c r="C53">
        <f t="shared" si="1"/>
        <v>-8.4030961309351865E-2</v>
      </c>
    </row>
    <row r="54" spans="1:3" x14ac:dyDescent="0.25">
      <c r="A54">
        <v>5.3</v>
      </c>
      <c r="B54">
        <f t="shared" si="0"/>
        <v>9.9831878138204339E-3</v>
      </c>
      <c r="C54">
        <f t="shared" si="1"/>
        <v>-8.2430620559240803E-2</v>
      </c>
    </row>
    <row r="55" spans="1:3" x14ac:dyDescent="0.25">
      <c r="A55">
        <v>5.4</v>
      </c>
      <c r="B55">
        <f t="shared" si="0"/>
        <v>9.0331618852253319E-3</v>
      </c>
      <c r="C55">
        <f t="shared" si="1"/>
        <v>-8.0786505445373163E-2</v>
      </c>
    </row>
    <row r="56" spans="1:3" x14ac:dyDescent="0.25">
      <c r="A56">
        <v>5.4999999999999902</v>
      </c>
      <c r="B56">
        <f t="shared" si="0"/>
        <v>8.173542876928213E-3</v>
      </c>
      <c r="C56">
        <f t="shared" si="1"/>
        <v>-7.9106692290527039E-2</v>
      </c>
    </row>
    <row r="57" spans="1:3" x14ac:dyDescent="0.25">
      <c r="A57">
        <v>5.5999999999999899</v>
      </c>
      <c r="B57">
        <f t="shared" si="0"/>
        <v>7.3957274329659369E-3</v>
      </c>
      <c r="C57">
        <f t="shared" si="1"/>
        <v>-7.7398573764006634E-2</v>
      </c>
    </row>
    <row r="58" spans="1:3" x14ac:dyDescent="0.25">
      <c r="A58">
        <v>5.6999999999999904</v>
      </c>
      <c r="B58">
        <f t="shared" si="0"/>
        <v>6.69193091494261E-3</v>
      </c>
      <c r="C58">
        <f t="shared" si="1"/>
        <v>-7.5668906355898541E-2</v>
      </c>
    </row>
    <row r="59" spans="1:3" x14ac:dyDescent="0.25">
      <c r="A59">
        <v>5.7999999999999901</v>
      </c>
      <c r="B59">
        <f t="shared" si="0"/>
        <v>6.0551094907516896E-3</v>
      </c>
      <c r="C59">
        <f t="shared" si="1"/>
        <v>-7.3923854846750056E-2</v>
      </c>
    </row>
    <row r="60" spans="1:3" x14ac:dyDescent="0.25">
      <c r="A60">
        <v>5.8999999999999897</v>
      </c>
      <c r="B60">
        <f t="shared" si="0"/>
        <v>5.4788896375367949E-3</v>
      </c>
      <c r="C60">
        <f t="shared" si="1"/>
        <v>-7.2169033952820719E-2</v>
      </c>
    </row>
    <row r="61" spans="1:3" x14ac:dyDescent="0.25">
      <c r="A61">
        <v>5.9999999999999902</v>
      </c>
      <c r="B61">
        <f t="shared" si="0"/>
        <v>4.9575043533327656E-3</v>
      </c>
      <c r="C61">
        <f t="shared" si="1"/>
        <v>-7.0409547316629878E-2</v>
      </c>
    </row>
    <row r="62" spans="1:3" x14ac:dyDescent="0.25">
      <c r="A62">
        <v>6.0999999999999899</v>
      </c>
      <c r="B62">
        <f t="shared" si="0"/>
        <v>4.4857354389716501E-3</v>
      </c>
      <c r="C62">
        <f t="shared" si="1"/>
        <v>-6.8650024002687479E-2</v>
      </c>
    </row>
    <row r="63" spans="1:3" x14ac:dyDescent="0.25">
      <c r="A63">
        <v>6.1999999999999904</v>
      </c>
      <c r="B63">
        <f t="shared" si="0"/>
        <v>4.0588612725915079E-3</v>
      </c>
      <c r="C63">
        <f t="shared" si="1"/>
        <v>-6.6894652649013106E-2</v>
      </c>
    </row>
    <row r="64" spans="1:3" x14ac:dyDescent="0.25">
      <c r="A64">
        <v>6.2999999999999901</v>
      </c>
      <c r="B64">
        <f t="shared" si="0"/>
        <v>3.6726095540578502E-3</v>
      </c>
      <c r="C64">
        <f t="shared" si="1"/>
        <v>-6.514721341629344E-2</v>
      </c>
    </row>
    <row r="65" spans="1:3" x14ac:dyDescent="0.25">
      <c r="A65">
        <v>6.3999999999999897</v>
      </c>
      <c r="B65">
        <f t="shared" si="0"/>
        <v>3.3231145463479034E-3</v>
      </c>
      <c r="C65">
        <f t="shared" si="1"/>
        <v>-6.341110786826662E-2</v>
      </c>
    </row>
    <row r="66" spans="1:3" x14ac:dyDescent="0.25">
      <c r="A66">
        <v>6.4999999999999902</v>
      </c>
      <c r="B66">
        <f t="shared" ref="B66:B129" si="2">S_1(1,A66)</f>
        <v>3.0068783859551742E-3</v>
      </c>
      <c r="C66">
        <f t="shared" ref="C66:C129" si="3">S_2(1,A66)</f>
        <v>-6.1689386909131304E-2</v>
      </c>
    </row>
    <row r="67" spans="1:3" x14ac:dyDescent="0.25">
      <c r="A67">
        <v>6.5999999999999899</v>
      </c>
      <c r="B67">
        <f t="shared" si="2"/>
        <v>2.7207360750958142E-3</v>
      </c>
      <c r="C67">
        <f t="shared" si="3"/>
        <v>-5.9984776896427644E-2</v>
      </c>
    </row>
    <row r="68" spans="1:3" x14ac:dyDescent="0.25">
      <c r="A68">
        <v>6.6999999999999904</v>
      </c>
      <c r="B68">
        <f t="shared" si="2"/>
        <v>2.4618238053469859E-3</v>
      </c>
      <c r="C68">
        <f t="shared" si="3"/>
        <v>-5.829970404090546E-2</v>
      </c>
    </row>
    <row r="69" spans="1:3" x14ac:dyDescent="0.25">
      <c r="A69">
        <v>6.7999999999999901</v>
      </c>
      <c r="B69">
        <f t="shared" si="2"/>
        <v>2.2275502956896282E-3</v>
      </c>
      <c r="C69">
        <f t="shared" si="3"/>
        <v>-5.6636317198358266E-2</v>
      </c>
    </row>
    <row r="70" spans="1:3" x14ac:dyDescent="0.25">
      <c r="A70">
        <v>6.8999999999999897</v>
      </c>
      <c r="B70">
        <f t="shared" si="2"/>
        <v>2.0155708580970422E-3</v>
      </c>
      <c r="C70">
        <f t="shared" si="3"/>
        <v>-5.4996509152234946E-2</v>
      </c>
    </row>
    <row r="71" spans="1:3" x14ac:dyDescent="0.25">
      <c r="A71">
        <v>6.9999999999999902</v>
      </c>
      <c r="B71">
        <f t="shared" si="2"/>
        <v>1.8237639311090503E-3</v>
      </c>
      <c r="C71">
        <f t="shared" si="3"/>
        <v>-5.3381936480029271E-2</v>
      </c>
    </row>
    <row r="72" spans="1:3" x14ac:dyDescent="0.25">
      <c r="A72">
        <v>7.0999999999999899</v>
      </c>
      <c r="B72">
        <f t="shared" si="2"/>
        <v>1.6502098465318252E-3</v>
      </c>
      <c r="C72">
        <f t="shared" si="3"/>
        <v>-5.1794038090964563E-2</v>
      </c>
    </row>
    <row r="73" spans="1:3" x14ac:dyDescent="0.25">
      <c r="A73">
        <v>7.1999999999999904</v>
      </c>
      <c r="B73">
        <f t="shared" si="2"/>
        <v>1.4931716167533732E-3</v>
      </c>
      <c r="C73">
        <f t="shared" si="3"/>
        <v>-5.0234052517323262E-2</v>
      </c>
    </row>
    <row r="74" spans="1:3" x14ac:dyDescent="0.25">
      <c r="A74">
        <v>7.2999999999999901</v>
      </c>
      <c r="B74">
        <f t="shared" si="2"/>
        <v>1.351077550387702E-3</v>
      </c>
      <c r="C74">
        <f t="shared" si="3"/>
        <v>-4.8703034036899594E-2</v>
      </c>
    </row>
    <row r="75" spans="1:3" x14ac:dyDescent="0.25">
      <c r="A75">
        <v>7.3999999999999897</v>
      </c>
      <c r="B75">
        <f t="shared" si="2"/>
        <v>1.2225055222591576E-3</v>
      </c>
      <c r="C75">
        <f t="shared" si="3"/>
        <v>-4.7201867699459804E-2</v>
      </c>
    </row>
    <row r="76" spans="1:3" x14ac:dyDescent="0.25">
      <c r="A76">
        <v>7.4999999999999902</v>
      </c>
      <c r="B76">
        <f t="shared" si="2"/>
        <v>1.1061687402956779E-3</v>
      </c>
      <c r="C76">
        <f t="shared" si="3"/>
        <v>-4.5731283325766273E-2</v>
      </c>
    </row>
    <row r="77" spans="1:3" x14ac:dyDescent="0.25">
      <c r="A77">
        <v>7.5999999999999899</v>
      </c>
      <c r="B77">
        <f t="shared" si="2"/>
        <v>1.0009028668812314E-3</v>
      </c>
      <c r="C77">
        <f t="shared" si="3"/>
        <v>-4.4291868543641359E-2</v>
      </c>
    </row>
    <row r="78" spans="1:3" x14ac:dyDescent="0.25">
      <c r="A78">
        <v>7.6999999999999904</v>
      </c>
      <c r="B78">
        <f t="shared" si="2"/>
        <v>9.056543657736028E-4</v>
      </c>
      <c r="C78">
        <f t="shared" si="3"/>
        <v>-4.28840809217012E-2</v>
      </c>
    </row>
    <row r="79" spans="1:3" x14ac:dyDescent="0.25">
      <c r="A79">
        <v>7.7999999999999901</v>
      </c>
      <c r="B79">
        <f t="shared" si="2"/>
        <v>8.1946995795958153E-4</v>
      </c>
      <c r="C79">
        <f t="shared" si="3"/>
        <v>-4.1508259257767181E-2</v>
      </c>
    </row>
    <row r="80" spans="1:3" x14ac:dyDescent="0.25">
      <c r="A80">
        <v>7.8999999999999897</v>
      </c>
      <c r="B80">
        <f t="shared" si="2"/>
        <v>7.4148708091818435E-4</v>
      </c>
      <c r="C80">
        <f t="shared" si="3"/>
        <v>-4.0164634075547351E-2</v>
      </c>
    </row>
    <row r="81" spans="1:3" x14ac:dyDescent="0.25">
      <c r="A81">
        <v>7.9999999999999902</v>
      </c>
      <c r="B81">
        <f t="shared" si="2"/>
        <v>6.7092525580503021E-4</v>
      </c>
      <c r="C81">
        <f t="shared" si="3"/>
        <v>-3.8853337379964069E-2</v>
      </c>
    </row>
    <row r="82" spans="1:3" x14ac:dyDescent="0.25">
      <c r="A82">
        <v>8.0999999999999908</v>
      </c>
      <c r="B82">
        <f t="shared" si="2"/>
        <v>6.0707827615773897E-4</v>
      </c>
      <c r="C82">
        <f t="shared" si="3"/>
        <v>-3.757441171847322E-2</v>
      </c>
    </row>
    <row r="83" spans="1:3" x14ac:dyDescent="0.25">
      <c r="A83">
        <v>8.1999999999999904</v>
      </c>
      <c r="B83">
        <f t="shared" si="2"/>
        <v>5.4930713994428995E-4</v>
      </c>
      <c r="C83">
        <f t="shared" si="3"/>
        <v>-3.6327818592865616E-2</v>
      </c>
    </row>
    <row r="84" spans="1:3" x14ac:dyDescent="0.25">
      <c r="A84">
        <v>8.2999999999999794</v>
      </c>
      <c r="B84">
        <f t="shared" si="2"/>
        <v>4.9703365421591432E-4</v>
      </c>
      <c r="C84">
        <f t="shared" si="3"/>
        <v>-3.5113446263352513E-2</v>
      </c>
    </row>
    <row r="85" spans="1:3" x14ac:dyDescent="0.25">
      <c r="A85">
        <v>8.3999999999999808</v>
      </c>
      <c r="B85">
        <f t="shared" si="2"/>
        <v>4.4973464835770517E-4</v>
      </c>
      <c r="C85">
        <f t="shared" si="3"/>
        <v>-3.3931116984203723E-2</v>
      </c>
    </row>
    <row r="86" spans="1:3" x14ac:dyDescent="0.25">
      <c r="A86">
        <v>8.4999999999999805</v>
      </c>
      <c r="B86">
        <f t="shared" si="2"/>
        <v>4.0693673802129631E-4</v>
      </c>
      <c r="C86">
        <f t="shared" si="3"/>
        <v>-3.2780593707824747E-2</v>
      </c>
    </row>
    <row r="87" spans="1:3" x14ac:dyDescent="0.25">
      <c r="A87">
        <v>8.5999999999999801</v>
      </c>
      <c r="B87">
        <f t="shared" si="2"/>
        <v>3.682115873351656E-4</v>
      </c>
      <c r="C87">
        <f t="shared" si="3"/>
        <v>-3.1661586291908725E-2</v>
      </c>
    </row>
    <row r="88" spans="1:3" x14ac:dyDescent="0.25">
      <c r="A88">
        <v>8.6999999999999797</v>
      </c>
      <c r="B88">
        <f t="shared" si="2"/>
        <v>3.3317162197527358E-4</v>
      </c>
      <c r="C88">
        <f t="shared" si="3"/>
        <v>-3.0573757242190098E-2</v>
      </c>
    </row>
    <row r="89" spans="1:3" x14ac:dyDescent="0.25">
      <c r="A89">
        <v>8.7999999999999794</v>
      </c>
      <c r="B89">
        <f t="shared" si="2"/>
        <v>3.014661501909594E-4</v>
      </c>
      <c r="C89">
        <f t="shared" si="3"/>
        <v>-2.9516727021332626E-2</v>
      </c>
    </row>
    <row r="90" spans="1:3" x14ac:dyDescent="0.25">
      <c r="A90">
        <v>8.8999999999999808</v>
      </c>
      <c r="B90">
        <f t="shared" si="2"/>
        <v>2.7277785296402811E-4</v>
      </c>
      <c r="C90">
        <f t="shared" si="3"/>
        <v>-2.849007895261229E-2</v>
      </c>
    </row>
    <row r="91" spans="1:3" x14ac:dyDescent="0.25">
      <c r="A91">
        <v>8.9999999999999805</v>
      </c>
      <c r="B91">
        <f t="shared" si="2"/>
        <v>2.4681960817336395E-4</v>
      </c>
      <c r="C91">
        <f t="shared" si="3"/>
        <v>-2.7493363745291752E-2</v>
      </c>
    </row>
    <row r="92" spans="1:3" x14ac:dyDescent="0.25">
      <c r="A92">
        <v>9.0999999999999801</v>
      </c>
      <c r="B92">
        <f t="shared" si="2"/>
        <v>2.2333161698023392E-4</v>
      </c>
      <c r="C92">
        <f t="shared" si="3"/>
        <v>-2.6526103666922998E-2</v>
      </c>
    </row>
    <row r="93" spans="1:3" x14ac:dyDescent="0.25">
      <c r="A93">
        <v>9.1999999999999797</v>
      </c>
      <c r="B93">
        <f t="shared" si="2"/>
        <v>2.0207880367419079E-4</v>
      </c>
      <c r="C93">
        <f t="shared" si="3"/>
        <v>-2.5587796386253636E-2</v>
      </c>
    </row>
    <row r="94" spans="1:3" x14ac:dyDescent="0.25">
      <c r="A94">
        <v>9.2999999999999794</v>
      </c>
      <c r="B94">
        <f t="shared" si="2"/>
        <v>1.8284846295635044E-4</v>
      </c>
      <c r="C94">
        <f t="shared" si="3"/>
        <v>-2.4677918508942187E-2</v>
      </c>
    </row>
    <row r="95" spans="1:3" x14ac:dyDescent="0.25">
      <c r="A95">
        <v>9.3999999999999808</v>
      </c>
      <c r="B95">
        <f t="shared" si="2"/>
        <v>1.6544813111326771E-4</v>
      </c>
      <c r="C95">
        <f t="shared" si="3"/>
        <v>-2.3795928826905576E-2</v>
      </c>
    </row>
    <row r="96" spans="1:3" x14ac:dyDescent="0.25">
      <c r="A96">
        <v>9.4999999999999805</v>
      </c>
      <c r="B96">
        <f t="shared" si="2"/>
        <v>1.497036597754041E-4</v>
      </c>
      <c r="C96">
        <f t="shared" si="3"/>
        <v>-2.2941271300821638E-2</v>
      </c>
    </row>
    <row r="97" spans="1:3" x14ac:dyDescent="0.25">
      <c r="A97">
        <v>9.5999999999999801</v>
      </c>
      <c r="B97">
        <f t="shared" si="2"/>
        <v>1.3545747298171045E-4</v>
      </c>
      <c r="C97">
        <f t="shared" si="3"/>
        <v>-2.2113377794085919E-2</v>
      </c>
    </row>
    <row r="98" spans="1:3" x14ac:dyDescent="0.25">
      <c r="A98">
        <v>9.6999999999999797</v>
      </c>
      <c r="B98">
        <f t="shared" si="2"/>
        <v>1.2256699010644668E-4</v>
      </c>
      <c r="C98">
        <f t="shared" si="3"/>
        <v>-2.1311670575372525E-2</v>
      </c>
    </row>
    <row r="99" spans="1:3" x14ac:dyDescent="0.25">
      <c r="A99">
        <v>9.7999999999999794</v>
      </c>
      <c r="B99">
        <f t="shared" si="2"/>
        <v>1.1090319886435625E-4</v>
      </c>
      <c r="C99">
        <f t="shared" si="3"/>
        <v>-2.0535564605866391E-2</v>
      </c>
    </row>
    <row r="100" spans="1:3" x14ac:dyDescent="0.25">
      <c r="A100">
        <v>9.8999999999999808</v>
      </c>
      <c r="B100">
        <f t="shared" si="2"/>
        <v>1.0034936411235253E-4</v>
      </c>
      <c r="C100">
        <f t="shared" si="3"/>
        <v>-1.9784469626218017E-2</v>
      </c>
    </row>
    <row r="101" spans="1:3" x14ac:dyDescent="0.25">
      <c r="A101">
        <v>9.9999999999999805</v>
      </c>
      <c r="B101">
        <f t="shared" si="2"/>
        <v>9.0799859524971484E-5</v>
      </c>
      <c r="C101">
        <f t="shared" si="3"/>
        <v>-1.9057792057315667E-2</v>
      </c>
    </row>
    <row r="102" spans="1:3" x14ac:dyDescent="0.25">
      <c r="A102">
        <v>10.1</v>
      </c>
      <c r="B102">
        <f t="shared" si="2"/>
        <v>8.2159110450601448E-5</v>
      </c>
      <c r="C102">
        <f t="shared" si="3"/>
        <v>-1.8354936728071213E-2</v>
      </c>
    </row>
    <row r="103" spans="1:3" x14ac:dyDescent="0.25">
      <c r="A103">
        <v>10.199999999999999</v>
      </c>
      <c r="B103">
        <f t="shared" si="2"/>
        <v>7.4340637368253468E-5</v>
      </c>
      <c r="C103">
        <f t="shared" si="3"/>
        <v>-1.7675308442572795E-2</v>
      </c>
    </row>
    <row r="104" spans="1:3" x14ac:dyDescent="0.25">
      <c r="A104">
        <v>10.3</v>
      </c>
      <c r="B104">
        <f t="shared" si="2"/>
        <v>6.7266190371437936E-5</v>
      </c>
      <c r="C104">
        <f t="shared" si="3"/>
        <v>-1.7018313398160893E-2</v>
      </c>
    </row>
    <row r="105" spans="1:3" x14ac:dyDescent="0.25">
      <c r="A105">
        <v>10.4</v>
      </c>
      <c r="B105">
        <f t="shared" si="2"/>
        <v>6.0864966016807249E-5</v>
      </c>
      <c r="C105">
        <f t="shared" si="3"/>
        <v>-1.6383360465243999E-2</v>
      </c>
    </row>
    <row r="106" spans="1:3" x14ac:dyDescent="0.25">
      <c r="A106">
        <v>10.5</v>
      </c>
      <c r="B106">
        <f t="shared" si="2"/>
        <v>5.5072898699494316E-5</v>
      </c>
      <c r="C106">
        <f t="shared" si="3"/>
        <v>-1.5769862338964918E-2</v>
      </c>
    </row>
    <row r="107" spans="1:3" x14ac:dyDescent="0.25">
      <c r="A107">
        <v>10.6</v>
      </c>
      <c r="B107">
        <f t="shared" si="2"/>
        <v>4.9832019463006409E-5</v>
      </c>
      <c r="C107">
        <f t="shared" si="3"/>
        <v>-1.5177236572174367E-2</v>
      </c>
    </row>
    <row r="108" spans="1:3" x14ac:dyDescent="0.25">
      <c r="A108">
        <v>10.7</v>
      </c>
      <c r="B108">
        <f t="shared" si="2"/>
        <v>4.5089875826424421E-5</v>
      </c>
      <c r="C108">
        <f t="shared" si="3"/>
        <v>-1.4604906498549694E-2</v>
      </c>
    </row>
    <row r="109" spans="1:3" x14ac:dyDescent="0.25">
      <c r="A109">
        <v>10.8</v>
      </c>
      <c r="B109">
        <f t="shared" si="2"/>
        <v>4.0799006822343844E-5</v>
      </c>
      <c r="C109">
        <f t="shared" si="3"/>
        <v>-1.405230205411712E-2</v>
      </c>
    </row>
    <row r="110" spans="1:3" x14ac:dyDescent="0.25">
      <c r="A110">
        <v>10.9</v>
      </c>
      <c r="B110">
        <f t="shared" si="2"/>
        <v>3.6916467991561116E-5</v>
      </c>
      <c r="C110">
        <f t="shared" si="3"/>
        <v>-1.3518860504891761E-2</v>
      </c>
    </row>
    <row r="111" spans="1:3" x14ac:dyDescent="0.25">
      <c r="A111">
        <v>11</v>
      </c>
      <c r="B111">
        <f t="shared" si="2"/>
        <v>3.3403401580491319E-5</v>
      </c>
      <c r="C111">
        <f t="shared" si="3"/>
        <v>-1.3004027087838495E-2</v>
      </c>
    </row>
    <row r="112" spans="1:3" x14ac:dyDescent="0.25">
      <c r="A112">
        <v>11.1</v>
      </c>
      <c r="B112">
        <f t="shared" si="2"/>
        <v>3.0224647639710067E-5</v>
      </c>
      <c r="C112">
        <f t="shared" si="3"/>
        <v>-1.2507255571878047E-2</v>
      </c>
    </row>
    <row r="113" spans="1:3" x14ac:dyDescent="0.25">
      <c r="A113">
        <v>11.2</v>
      </c>
      <c r="B113">
        <f t="shared" si="2"/>
        <v>2.7348392131361927E-5</v>
      </c>
      <c r="C113">
        <f t="shared" si="3"/>
        <v>-1.2028008745212341E-2</v>
      </c>
    </row>
    <row r="114" spans="1:3" x14ac:dyDescent="0.25">
      <c r="A114">
        <v>11.3</v>
      </c>
      <c r="B114">
        <f t="shared" si="2"/>
        <v>2.4745848523576443E-5</v>
      </c>
      <c r="C114">
        <f t="shared" si="3"/>
        <v>-1.1565758834821775E-2</v>
      </c>
    </row>
    <row r="115" spans="1:3" x14ac:dyDescent="0.25">
      <c r="A115">
        <v>11.4</v>
      </c>
      <c r="B115">
        <f t="shared" si="2"/>
        <v>2.239096968518188E-5</v>
      </c>
      <c r="C115">
        <f t="shared" si="3"/>
        <v>-1.1119987863591262E-2</v>
      </c>
    </row>
    <row r="116" spans="1:3" x14ac:dyDescent="0.25">
      <c r="A116">
        <v>11.5</v>
      </c>
      <c r="B116">
        <f t="shared" si="2"/>
        <v>2.0260187197261421E-5</v>
      </c>
      <c r="C116">
        <f t="shared" si="3"/>
        <v>-1.0690187950150956E-2</v>
      </c>
    </row>
    <row r="117" spans="1:3" x14ac:dyDescent="0.25">
      <c r="A117">
        <v>11.6</v>
      </c>
      <c r="B117">
        <f t="shared" si="2"/>
        <v>1.8332175472495234E-5</v>
      </c>
      <c r="C117">
        <f t="shared" si="3"/>
        <v>-1.0275861556170001E-2</v>
      </c>
    </row>
    <row r="118" spans="1:3" x14ac:dyDescent="0.25">
      <c r="A118">
        <v>11.7</v>
      </c>
      <c r="B118">
        <f t="shared" si="2"/>
        <v>1.6587638321514741E-5</v>
      </c>
      <c r="C118">
        <f t="shared" si="3"/>
        <v>-9.8765216855154839E-3</v>
      </c>
    </row>
    <row r="119" spans="1:3" x14ac:dyDescent="0.25">
      <c r="A119">
        <v>11.8</v>
      </c>
      <c r="B119">
        <f t="shared" si="2"/>
        <v>1.5009115830153716E-5</v>
      </c>
      <c r="C119">
        <f t="shared" si="3"/>
        <v>-9.4916920393835844E-3</v>
      </c>
    </row>
    <row r="120" spans="1:3" x14ac:dyDescent="0.25">
      <c r="A120">
        <v>11.9</v>
      </c>
      <c r="B120">
        <f t="shared" si="2"/>
        <v>1.3580809614758941E-5</v>
      </c>
      <c r="C120">
        <f t="shared" si="3"/>
        <v>-9.1209071312237221E-3</v>
      </c>
    </row>
    <row r="121" spans="1:3" x14ac:dyDescent="0.25">
      <c r="A121">
        <v>12</v>
      </c>
      <c r="B121">
        <f t="shared" si="2"/>
        <v>1.228842470665642E-5</v>
      </c>
      <c r="C121">
        <f t="shared" si="3"/>
        <v>-8.7637123650084869E-3</v>
      </c>
    </row>
    <row r="122" spans="1:3" x14ac:dyDescent="0.25">
      <c r="A122">
        <v>12.1</v>
      </c>
      <c r="B122">
        <f t="shared" si="2"/>
        <v>1.1119026483300292E-5</v>
      </c>
      <c r="C122">
        <f t="shared" si="3"/>
        <v>-8.4196640801513841E-3</v>
      </c>
    </row>
    <row r="123" spans="1:3" x14ac:dyDescent="0.25">
      <c r="A123">
        <v>12.2</v>
      </c>
      <c r="B123">
        <f t="shared" si="2"/>
        <v>1.0060911214222897E-5</v>
      </c>
      <c r="C123">
        <f t="shared" si="3"/>
        <v>-8.0883295661393767E-3</v>
      </c>
    </row>
    <row r="124" spans="1:3" x14ac:dyDescent="0.25">
      <c r="A124">
        <v>12.3</v>
      </c>
      <c r="B124">
        <f t="shared" si="2"/>
        <v>9.1034889261664623E-6</v>
      </c>
      <c r="C124">
        <f t="shared" si="3"/>
        <v>-7.7692870497274406E-3</v>
      </c>
    </row>
    <row r="125" spans="1:3" x14ac:dyDescent="0.25">
      <c r="A125">
        <v>12.4</v>
      </c>
      <c r="B125">
        <f t="shared" si="2"/>
        <v>8.2371774150714163E-6</v>
      </c>
      <c r="C125">
        <f t="shared" si="3"/>
        <v>-7.4621256573367068E-3</v>
      </c>
    </row>
    <row r="126" spans="1:3" x14ac:dyDescent="0.25">
      <c r="A126">
        <v>12.5</v>
      </c>
      <c r="B126">
        <f t="shared" si="2"/>
        <v>7.4533063441573419E-6</v>
      </c>
      <c r="C126">
        <f t="shared" si="3"/>
        <v>-7.1664453551052209E-3</v>
      </c>
    </row>
    <row r="127" spans="1:3" x14ac:dyDescent="0.25">
      <c r="A127">
        <v>12.6</v>
      </c>
      <c r="B127">
        <f t="shared" si="2"/>
        <v>6.744030468278369E-6</v>
      </c>
      <c r="C127">
        <f t="shared" si="3"/>
        <v>-6.8818568688606748E-3</v>
      </c>
    </row>
    <row r="128" spans="1:3" x14ac:dyDescent="0.25">
      <c r="A128">
        <v>12.7</v>
      </c>
      <c r="B128">
        <f t="shared" si="2"/>
        <v>6.102251116072845E-6</v>
      </c>
      <c r="C128">
        <f t="shared" si="3"/>
        <v>-6.6079815861160478E-3</v>
      </c>
    </row>
    <row r="129" spans="1:3" x14ac:dyDescent="0.25">
      <c r="A129">
        <v>12.8</v>
      </c>
      <c r="B129">
        <f t="shared" si="2"/>
        <v>5.5215451440743973E-6</v>
      </c>
      <c r="C129">
        <f t="shared" si="3"/>
        <v>-6.3444514420320352E-3</v>
      </c>
    </row>
    <row r="130" spans="1:3" x14ac:dyDescent="0.25">
      <c r="A130">
        <v>12.9</v>
      </c>
      <c r="B130">
        <f t="shared" ref="B130:B193" si="4">S_1(1,A130)</f>
        <v>4.9961006517332699E-6</v>
      </c>
      <c r="C130">
        <f t="shared" ref="C130:C193" si="5">S_2(1,A130)</f>
        <v>-6.0909087911433114E-3</v>
      </c>
    </row>
    <row r="131" spans="1:3" x14ac:dyDescent="0.25">
      <c r="A131">
        <v>13</v>
      </c>
      <c r="B131">
        <f t="shared" si="4"/>
        <v>4.5206588139621085E-6</v>
      </c>
      <c r="C131">
        <f t="shared" si="5"/>
        <v>-5.8470062665083953E-3</v>
      </c>
    </row>
    <row r="132" spans="1:3" x14ac:dyDescent="0.25">
      <c r="A132">
        <v>13.1</v>
      </c>
      <c r="B132">
        <f t="shared" si="4"/>
        <v>4.0904612490469794E-6</v>
      </c>
      <c r="C132">
        <f t="shared" si="5"/>
        <v>-5.612406627815059E-3</v>
      </c>
    </row>
    <row r="133" spans="1:3" x14ac:dyDescent="0.25">
      <c r="A133">
        <v>13.2</v>
      </c>
      <c r="B133">
        <f t="shared" si="4"/>
        <v>3.7012023951638163E-6</v>
      </c>
      <c r="C133">
        <f t="shared" si="5"/>
        <v>-5.3867825998534895E-3</v>
      </c>
    </row>
    <row r="134" spans="1:3" x14ac:dyDescent="0.25">
      <c r="A134">
        <v>13.3</v>
      </c>
      <c r="B134">
        <f t="shared" si="4"/>
        <v>3.348986418868532E-6</v>
      </c>
      <c r="C134">
        <f t="shared" si="5"/>
        <v>-5.1698167026581017E-3</v>
      </c>
    </row>
    <row r="135" spans="1:3" x14ac:dyDescent="0.25">
      <c r="A135">
        <v>13.4</v>
      </c>
      <c r="B135">
        <f t="shared" si="4"/>
        <v>3.030288224286498E-6</v>
      </c>
      <c r="C135">
        <f t="shared" si="5"/>
        <v>-4.9612010745148276E-3</v>
      </c>
    </row>
    <row r="136" spans="1:3" x14ac:dyDescent="0.25">
      <c r="A136">
        <v>13.5</v>
      </c>
      <c r="B136">
        <f t="shared" si="4"/>
        <v>2.7419181727681689E-6</v>
      </c>
      <c r="C136">
        <f t="shared" si="5"/>
        <v>-4.7606372889337934E-3</v>
      </c>
    </row>
    <row r="137" spans="1:3" x14ac:dyDescent="0.25">
      <c r="A137">
        <v>13.6</v>
      </c>
      <c r="B137">
        <f t="shared" si="4"/>
        <v>2.4809901599134268E-6</v>
      </c>
      <c r="C137">
        <f t="shared" si="5"/>
        <v>-4.567836166597037E-3</v>
      </c>
    </row>
    <row r="138" spans="1:3" x14ac:dyDescent="0.25">
      <c r="A138">
        <v>13.7</v>
      </c>
      <c r="B138">
        <f t="shared" si="4"/>
        <v>2.2448927304686883E-6</v>
      </c>
      <c r="C138">
        <f t="shared" si="5"/>
        <v>-4.3825175832067319E-3</v>
      </c>
    </row>
    <row r="139" spans="1:3" x14ac:dyDescent="0.25">
      <c r="A139">
        <v>13.8</v>
      </c>
      <c r="B139">
        <f t="shared" si="4"/>
        <v>2.0312629420049805E-6</v>
      </c>
      <c r="C139">
        <f t="shared" si="5"/>
        <v>-4.2044102740810569E-3</v>
      </c>
    </row>
    <row r="140" spans="1:3" x14ac:dyDescent="0.25">
      <c r="A140">
        <v>13.9</v>
      </c>
      <c r="B140">
        <f t="shared" si="4"/>
        <v>1.8379627157959143E-6</v>
      </c>
      <c r="C140">
        <f t="shared" si="5"/>
        <v>-4.0332516362720557E-3</v>
      </c>
    </row>
    <row r="141" spans="1:3" x14ac:dyDescent="0.25">
      <c r="A141">
        <v>14</v>
      </c>
      <c r="B141">
        <f t="shared" si="4"/>
        <v>1.6630574382071358E-6</v>
      </c>
      <c r="C141">
        <f t="shared" si="5"/>
        <v>-3.8687875289118976E-3</v>
      </c>
    </row>
    <row r="142" spans="1:3" x14ac:dyDescent="0.25">
      <c r="A142">
        <v>14.1</v>
      </c>
      <c r="B142">
        <f t="shared" si="4"/>
        <v>1.5047965984328426E-6</v>
      </c>
      <c r="C142">
        <f t="shared" si="5"/>
        <v>-3.7107720724310908E-3</v>
      </c>
    </row>
    <row r="143" spans="1:3" x14ac:dyDescent="0.25">
      <c r="A143">
        <v>14.2</v>
      </c>
      <c r="B143">
        <f t="shared" si="4"/>
        <v>1.3615962687952685E-6</v>
      </c>
      <c r="C143">
        <f t="shared" si="5"/>
        <v>-3.5589674472335355E-3</v>
      </c>
    </row>
    <row r="144" spans="1:3" x14ac:dyDescent="0.25">
      <c r="A144">
        <v>14.3</v>
      </c>
      <c r="B144">
        <f t="shared" si="4"/>
        <v>1.2320232522641054E-6</v>
      </c>
      <c r="C144">
        <f t="shared" si="5"/>
        <v>-3.413143692358964E-3</v>
      </c>
    </row>
    <row r="145" spans="1:3" x14ac:dyDescent="0.25">
      <c r="A145">
        <v>14.4</v>
      </c>
      <c r="B145">
        <f t="shared" si="4"/>
        <v>1.1147807385389191E-6</v>
      </c>
      <c r="C145">
        <f t="shared" si="5"/>
        <v>-3.2730785046128992E-3</v>
      </c>
    </row>
    <row r="146" spans="1:3" x14ac:dyDescent="0.25">
      <c r="A146">
        <v>14.5</v>
      </c>
      <c r="B146">
        <f t="shared" si="4"/>
        <v>1.0086953251357761E-6</v>
      </c>
      <c r="C146">
        <f t="shared" si="5"/>
        <v>-3.1385570385973655E-3</v>
      </c>
    </row>
    <row r="147" spans="1:3" x14ac:dyDescent="0.25">
      <c r="A147">
        <v>14.6</v>
      </c>
      <c r="B147">
        <f t="shared" si="4"/>
        <v>9.1270527358079877E-7</v>
      </c>
      <c r="C147">
        <f t="shared" si="5"/>
        <v>-3.0093717080323388E-3</v>
      </c>
    </row>
    <row r="148" spans="1:3" x14ac:dyDescent="0.25">
      <c r="A148">
        <v>14.7</v>
      </c>
      <c r="B148">
        <f t="shared" si="4"/>
        <v>8.2584988317465438E-7</v>
      </c>
      <c r="C148">
        <f t="shared" si="5"/>
        <v>-2.885321988717637E-3</v>
      </c>
    </row>
    <row r="149" spans="1:3" x14ac:dyDescent="0.25">
      <c r="A149">
        <v>14.8</v>
      </c>
      <c r="B149">
        <f t="shared" si="4"/>
        <v>7.4725987597705203E-7</v>
      </c>
      <c r="C149">
        <f t="shared" si="5"/>
        <v>-2.7662142234478179E-3</v>
      </c>
    </row>
    <row r="150" spans="1:3" x14ac:dyDescent="0.25">
      <c r="A150">
        <v>14.9</v>
      </c>
      <c r="B150">
        <f t="shared" si="4"/>
        <v>6.7614869678094734E-7</v>
      </c>
      <c r="C150">
        <f t="shared" si="5"/>
        <v>-2.6518614291582698E-3</v>
      </c>
    </row>
    <row r="151" spans="1:3" x14ac:dyDescent="0.25">
      <c r="A151">
        <v>15</v>
      </c>
      <c r="B151">
        <f t="shared" si="4"/>
        <v>6.1180464100365157E-7</v>
      </c>
      <c r="C151">
        <f t="shared" si="5"/>
        <v>-2.542083106548854E-3</v>
      </c>
    </row>
    <row r="152" spans="1:3" x14ac:dyDescent="0.25">
      <c r="A152">
        <v>15.1</v>
      </c>
      <c r="B152">
        <f t="shared" si="4"/>
        <v>5.5358373170816141E-7</v>
      </c>
      <c r="C152">
        <f t="shared" si="5"/>
        <v>-2.4367050524021884E-3</v>
      </c>
    </row>
    <row r="153" spans="1:3" x14ac:dyDescent="0.25">
      <c r="A153">
        <v>15.2</v>
      </c>
      <c r="B153">
        <f t="shared" si="4"/>
        <v>5.0090327446552439E-7</v>
      </c>
      <c r="C153">
        <f t="shared" si="5"/>
        <v>-2.3355591747865347E-3</v>
      </c>
    </row>
    <row r="154" spans="1:3" x14ac:dyDescent="0.25">
      <c r="A154">
        <v>15.3</v>
      </c>
      <c r="B154">
        <f t="shared" si="4"/>
        <v>4.5323602555314198E-7</v>
      </c>
      <c r="C154">
        <f t="shared" si="5"/>
        <v>-2.2384833113083414E-3</v>
      </c>
    </row>
    <row r="155" spans="1:3" x14ac:dyDescent="0.25">
      <c r="A155">
        <v>15.4</v>
      </c>
      <c r="B155">
        <f t="shared" si="4"/>
        <v>4.1010491512238534E-7</v>
      </c>
      <c r="C155">
        <f t="shared" si="5"/>
        <v>-2.145321050556529E-3</v>
      </c>
    </row>
    <row r="156" spans="1:3" x14ac:dyDescent="0.25">
      <c r="A156">
        <v>15.5</v>
      </c>
      <c r="B156">
        <f t="shared" si="4"/>
        <v>3.7107827252319567E-7</v>
      </c>
      <c r="C156">
        <f t="shared" si="5"/>
        <v>-2.0559215568594844E-3</v>
      </c>
    </row>
    <row r="157" spans="1:3" x14ac:dyDescent="0.25">
      <c r="A157">
        <v>15.6</v>
      </c>
      <c r="B157">
        <f t="shared" si="4"/>
        <v>3.3576550599913264E-7</v>
      </c>
      <c r="C157">
        <f t="shared" si="5"/>
        <v>-1.9701393984563565E-3</v>
      </c>
    </row>
    <row r="158" spans="1:3" x14ac:dyDescent="0.25">
      <c r="A158">
        <v>15.7</v>
      </c>
      <c r="B158">
        <f t="shared" si="4"/>
        <v>3.0381319351379278E-7</v>
      </c>
      <c r="C158">
        <f t="shared" si="5"/>
        <v>-1.8878343791664395E-3</v>
      </c>
    </row>
    <row r="159" spans="1:3" x14ac:dyDescent="0.25">
      <c r="A159">
        <v>15.8</v>
      </c>
      <c r="B159">
        <f t="shared" si="4"/>
        <v>2.749015455842792E-7</v>
      </c>
      <c r="C159">
        <f t="shared" si="5"/>
        <v>-1.80887137362414E-3</v>
      </c>
    </row>
    <row r="160" spans="1:3" x14ac:dyDescent="0.25">
      <c r="A160">
        <v>15.9</v>
      </c>
      <c r="B160">
        <f t="shared" si="4"/>
        <v>2.4874120472057391E-7</v>
      </c>
      <c r="C160">
        <f t="shared" si="5"/>
        <v>-1.7331201661321353E-3</v>
      </c>
    </row>
    <row r="161" spans="1:3" x14ac:dyDescent="0.25">
      <c r="A161">
        <v>16</v>
      </c>
      <c r="B161">
        <f t="shared" si="4"/>
        <v>2.2507034943851823E-7</v>
      </c>
      <c r="C161">
        <f t="shared" si="5"/>
        <v>-1.6604552931716796E-3</v>
      </c>
    </row>
    <row r="162" spans="1:3" x14ac:dyDescent="0.25">
      <c r="A162">
        <v>16.100000000000001</v>
      </c>
      <c r="B162">
        <f t="shared" si="4"/>
        <v>2.0365207386239972E-7</v>
      </c>
      <c r="C162">
        <f t="shared" si="5"/>
        <v>-1.5907558895966664E-3</v>
      </c>
    </row>
    <row r="163" spans="1:3" x14ac:dyDescent="0.25">
      <c r="A163">
        <v>16.2</v>
      </c>
      <c r="B163">
        <f t="shared" si="4"/>
        <v>1.842720166913227E-7</v>
      </c>
      <c r="C163">
        <f t="shared" si="5"/>
        <v>-1.523905538526714E-3</v>
      </c>
    </row>
    <row r="164" spans="1:3" x14ac:dyDescent="0.25">
      <c r="A164">
        <v>16.3</v>
      </c>
      <c r="B164">
        <f t="shared" si="4"/>
        <v>1.6673621579925542E-7</v>
      </c>
      <c r="C164">
        <f t="shared" si="5"/>
        <v>-1.4597921249442881E-3</v>
      </c>
    </row>
    <row r="165" spans="1:3" x14ac:dyDescent="0.25">
      <c r="A165">
        <v>16.399999999999999</v>
      </c>
      <c r="B165">
        <f t="shared" si="4"/>
        <v>1.5086916699688516E-7</v>
      </c>
      <c r="C165">
        <f t="shared" si="5"/>
        <v>-1.3983076929916505E-3</v>
      </c>
    </row>
    <row r="166" spans="1:3" x14ac:dyDescent="0.25">
      <c r="A166">
        <v>16.5</v>
      </c>
      <c r="B166">
        <f t="shared" si="4"/>
        <v>1.365120675266974E-7</v>
      </c>
      <c r="C166">
        <f t="shared" si="5"/>
        <v>-1.3393483069549191E-3</v>
      </c>
    </row>
    <row r="167" spans="1:3" x14ac:dyDescent="0.25">
      <c r="A167">
        <v>16.600000000000001</v>
      </c>
      <c r="B167">
        <f t="shared" si="4"/>
        <v>1.2352122671160727E-7</v>
      </c>
      <c r="C167">
        <f t="shared" si="5"/>
        <v>-1.2828139159150823E-3</v>
      </c>
    </row>
    <row r="168" spans="1:3" x14ac:dyDescent="0.25">
      <c r="A168">
        <v>16.7</v>
      </c>
      <c r="B168">
        <f t="shared" si="4"/>
        <v>1.1176662785036535E-7</v>
      </c>
      <c r="C168">
        <f t="shared" si="5"/>
        <v>-1.2286082220389015E-3</v>
      </c>
    </row>
    <row r="169" spans="1:3" x14ac:dyDescent="0.25">
      <c r="A169">
        <v>16.8</v>
      </c>
      <c r="B169">
        <f t="shared" si="4"/>
        <v>1.0113062696671041E-7</v>
      </c>
      <c r="C169">
        <f t="shared" si="5"/>
        <v>-1.1766385524766157E-3</v>
      </c>
    </row>
    <row r="170" spans="1:3" x14ac:dyDescent="0.25">
      <c r="A170">
        <v>16.899999999999999</v>
      </c>
      <c r="B170">
        <f t="shared" si="4"/>
        <v>9.1506775388916228E-8</v>
      </c>
      <c r="C170">
        <f t="shared" si="5"/>
        <v>-1.1268157348279402E-3</v>
      </c>
    </row>
    <row r="171" spans="1:3" x14ac:dyDescent="0.25">
      <c r="A171">
        <v>17</v>
      </c>
      <c r="B171">
        <f t="shared" si="4"/>
        <v>8.2798754375703337E-8</v>
      </c>
      <c r="C171">
        <f t="shared" si="5"/>
        <v>-1.0790539761329496E-3</v>
      </c>
    </row>
    <row r="172" spans="1:3" x14ac:dyDescent="0.25">
      <c r="A172">
        <v>17.100000000000001</v>
      </c>
      <c r="B172">
        <f t="shared" si="4"/>
        <v>7.4919411125904902E-8</v>
      </c>
      <c r="C172">
        <f t="shared" si="5"/>
        <v>-1.0332707453402999E-3</v>
      </c>
    </row>
    <row r="173" spans="1:3" x14ac:dyDescent="0.25">
      <c r="A173">
        <v>17.2</v>
      </c>
      <c r="B173">
        <f t="shared" si="4"/>
        <v>6.7789886523938487E-8</v>
      </c>
      <c r="C173">
        <f t="shared" si="5"/>
        <v>-9.8938665920138215E-4</v>
      </c>
    </row>
    <row r="174" spans="1:3" x14ac:dyDescent="0.25">
      <c r="A174">
        <v>17.3</v>
      </c>
      <c r="B174">
        <f t="shared" si="4"/>
        <v>6.13388258912711E-8</v>
      </c>
      <c r="C174">
        <f t="shared" si="5"/>
        <v>-9.4732537153581953E-4</v>
      </c>
    </row>
    <row r="175" spans="1:3" x14ac:dyDescent="0.25">
      <c r="A175">
        <v>17.399999999999999</v>
      </c>
      <c r="B175">
        <f t="shared" si="4"/>
        <v>5.5501664844815126E-8</v>
      </c>
      <c r="C175">
        <f t="shared" si="5"/>
        <v>-9.0701346581088436E-4</v>
      </c>
    </row>
    <row r="176" spans="1:3" x14ac:dyDescent="0.25">
      <c r="A176">
        <v>17.5</v>
      </c>
      <c r="B176">
        <f t="shared" si="4"/>
        <v>5.0219983114879638E-8</v>
      </c>
      <c r="C176">
        <f t="shared" si="5"/>
        <v>-8.6838035097494277E-4</v>
      </c>
    </row>
    <row r="177" spans="1:3" x14ac:dyDescent="0.25">
      <c r="A177">
        <v>17.600000000000001</v>
      </c>
      <c r="B177">
        <f t="shared" si="4"/>
        <v>4.5440919855477112E-8</v>
      </c>
      <c r="C177">
        <f t="shared" si="5"/>
        <v>-8.3135816048307792E-4</v>
      </c>
    </row>
    <row r="178" spans="1:3" x14ac:dyDescent="0.25">
      <c r="A178">
        <v>17.7</v>
      </c>
      <c r="B178">
        <f t="shared" si="4"/>
        <v>4.1116644595208969E-8</v>
      </c>
      <c r="C178">
        <f t="shared" si="5"/>
        <v>-7.958816544512546E-4</v>
      </c>
    </row>
    <row r="179" spans="1:3" x14ac:dyDescent="0.25">
      <c r="A179">
        <v>17.8</v>
      </c>
      <c r="B179">
        <f t="shared" si="4"/>
        <v>3.7203878533831021E-8</v>
      </c>
      <c r="C179">
        <f t="shared" si="5"/>
        <v>-7.618881248740517E-4</v>
      </c>
    </row>
    <row r="180" spans="1:3" x14ac:dyDescent="0.25">
      <c r="A180">
        <v>17.899999999999999</v>
      </c>
      <c r="B180">
        <f t="shared" si="4"/>
        <v>3.3663461393475193E-8</v>
      </c>
      <c r="C180">
        <f t="shared" si="5"/>
        <v>-7.2931730383988484E-4</v>
      </c>
    </row>
    <row r="181" spans="1:3" x14ac:dyDescent="0.25">
      <c r="A181">
        <v>18</v>
      </c>
      <c r="B181">
        <f t="shared" si="4"/>
        <v>3.0459959489425258E-8</v>
      </c>
      <c r="C181">
        <f t="shared" si="5"/>
        <v>-6.9811127467675547E-4</v>
      </c>
    </row>
    <row r="182" spans="1:3" x14ac:dyDescent="0.25">
      <c r="A182">
        <v>18.099999999999898</v>
      </c>
      <c r="B182">
        <f t="shared" si="4"/>
        <v>2.7561311097894275E-8</v>
      </c>
      <c r="C182">
        <f t="shared" si="5"/>
        <v>-6.6821438596106105E-4</v>
      </c>
    </row>
    <row r="183" spans="1:3" x14ac:dyDescent="0.25">
      <c r="A183">
        <v>18.1999999999999</v>
      </c>
      <c r="B183">
        <f t="shared" si="4"/>
        <v>2.4938505571504459E-8</v>
      </c>
      <c r="C183">
        <f t="shared" si="5"/>
        <v>-6.3957316832133977E-4</v>
      </c>
    </row>
    <row r="184" spans="1:3" x14ac:dyDescent="0.25">
      <c r="A184">
        <v>18.299999999999901</v>
      </c>
      <c r="B184">
        <f t="shared" si="4"/>
        <v>2.2565292990995455E-8</v>
      </c>
      <c r="C184">
        <f t="shared" si="5"/>
        <v>-6.1213625396932213E-4</v>
      </c>
    </row>
    <row r="185" spans="1:3" x14ac:dyDescent="0.25">
      <c r="A185">
        <v>18.399999999999899</v>
      </c>
      <c r="B185">
        <f t="shared" si="4"/>
        <v>2.0417921447197307E-8</v>
      </c>
      <c r="C185">
        <f t="shared" si="5"/>
        <v>-5.8585429888956394E-4</v>
      </c>
    </row>
    <row r="186" spans="1:3" x14ac:dyDescent="0.25">
      <c r="A186">
        <v>18.499999999999901</v>
      </c>
      <c r="B186">
        <f t="shared" si="4"/>
        <v>1.8474899323943028E-8</v>
      </c>
      <c r="C186">
        <f t="shared" si="5"/>
        <v>-5.6067990762017174E-4</v>
      </c>
    </row>
    <row r="187" spans="1:3" x14ac:dyDescent="0.25">
      <c r="A187">
        <v>18.599999999999898</v>
      </c>
      <c r="B187">
        <f t="shared" si="4"/>
        <v>1.6716780202750941E-8</v>
      </c>
      <c r="C187">
        <f t="shared" si="5"/>
        <v>-5.3656756055679938E-4</v>
      </c>
    </row>
    <row r="188" spans="1:3" x14ac:dyDescent="0.25">
      <c r="A188">
        <v>18.6999999999999</v>
      </c>
      <c r="B188">
        <f t="shared" si="4"/>
        <v>1.5125968236531782E-8</v>
      </c>
      <c r="C188">
        <f t="shared" si="5"/>
        <v>-5.1347354371271523E-4</v>
      </c>
    </row>
    <row r="189" spans="1:3" x14ac:dyDescent="0.25">
      <c r="A189">
        <v>18.799999999999901</v>
      </c>
      <c r="B189">
        <f t="shared" si="4"/>
        <v>1.3686542044437337E-8</v>
      </c>
      <c r="C189">
        <f t="shared" si="5"/>
        <v>-4.9135588086830892E-4</v>
      </c>
    </row>
    <row r="190" spans="1:3" x14ac:dyDescent="0.25">
      <c r="A190">
        <v>18.899999999999899</v>
      </c>
      <c r="B190">
        <f t="shared" si="4"/>
        <v>1.2384095365329309E-8</v>
      </c>
      <c r="C190">
        <f t="shared" si="5"/>
        <v>-4.7017426804401885E-4</v>
      </c>
    </row>
    <row r="191" spans="1:3" x14ac:dyDescent="0.25">
      <c r="A191">
        <v>18.999999999999901</v>
      </c>
      <c r="B191">
        <f t="shared" si="4"/>
        <v>1.1205592875075649E-8</v>
      </c>
      <c r="C191">
        <f t="shared" si="5"/>
        <v>-4.4989001023144708E-4</v>
      </c>
    </row>
    <row r="192" spans="1:3" x14ac:dyDescent="0.25">
      <c r="A192">
        <v>19.099999999999898</v>
      </c>
      <c r="B192">
        <f t="shared" si="4"/>
        <v>1.0139239724645617E-8</v>
      </c>
      <c r="C192">
        <f t="shared" si="5"/>
        <v>-4.3046596031826295E-4</v>
      </c>
    </row>
    <row r="193" spans="1:3" x14ac:dyDescent="0.25">
      <c r="A193">
        <v>19.1999999999999</v>
      </c>
      <c r="B193">
        <f t="shared" si="4"/>
        <v>9.1743634932959609E-9</v>
      </c>
      <c r="C193">
        <f t="shared" si="5"/>
        <v>-4.1186646014338232E-4</v>
      </c>
    </row>
    <row r="194" spans="1:3" x14ac:dyDescent="0.25">
      <c r="A194">
        <v>19.299999999999901</v>
      </c>
      <c r="B194">
        <f t="shared" ref="B194:B257" si="6">S_1(1,A194)</f>
        <v>8.3013073753972727E-9</v>
      </c>
      <c r="C194">
        <f t="shared" ref="C194:C257" si="7">S_2(1,A194)</f>
        <v>-3.9405728361992476E-4</v>
      </c>
    </row>
    <row r="195" spans="1:3" x14ac:dyDescent="0.25">
      <c r="A195">
        <v>19.399999999999899</v>
      </c>
      <c r="B195">
        <f t="shared" si="6"/>
        <v>7.5113335318773527E-9</v>
      </c>
      <c r="C195">
        <f t="shared" si="7"/>
        <v>-3.7700558186444343E-4</v>
      </c>
    </row>
    <row r="196" spans="1:3" x14ac:dyDescent="0.25">
      <c r="A196">
        <v>19.499999999999901</v>
      </c>
      <c r="B196">
        <f t="shared" si="6"/>
        <v>6.7965356389908188E-9</v>
      </c>
      <c r="C196">
        <f t="shared" si="7"/>
        <v>-3.6067983027202559E-4</v>
      </c>
    </row>
    <row r="197" spans="1:3" x14ac:dyDescent="0.25">
      <c r="A197">
        <v>19.599999999999898</v>
      </c>
      <c r="B197">
        <f t="shared" si="6"/>
        <v>6.1497597591738457E-9</v>
      </c>
      <c r="C197">
        <f t="shared" si="7"/>
        <v>-3.4504977747798113E-4</v>
      </c>
    </row>
    <row r="198" spans="1:3" x14ac:dyDescent="0.25">
      <c r="A198">
        <v>19.6999999999999</v>
      </c>
      <c r="B198">
        <f t="shared" si="6"/>
        <v>5.5645327420322999E-9</v>
      </c>
      <c r="C198">
        <f t="shared" si="7"/>
        <v>-3.3008639614797065E-4</v>
      </c>
    </row>
    <row r="199" spans="1:3" x14ac:dyDescent="0.25">
      <c r="A199">
        <v>19.799999999999901</v>
      </c>
      <c r="B199">
        <f t="shared" si="6"/>
        <v>5.0349974388770571E-9</v>
      </c>
      <c r="C199">
        <f t="shared" si="7"/>
        <v>-3.1576183553963869E-4</v>
      </c>
    </row>
    <row r="200" spans="1:3" x14ac:dyDescent="0.25">
      <c r="A200">
        <v>19.899999999999899</v>
      </c>
      <c r="B200">
        <f t="shared" si="6"/>
        <v>4.5558540824111948E-9</v>
      </c>
      <c r="C200">
        <f t="shared" si="7"/>
        <v>-3.0204937577999505E-4</v>
      </c>
    </row>
    <row r="201" spans="1:3" x14ac:dyDescent="0.25">
      <c r="A201">
        <v>19.999999999999901</v>
      </c>
      <c r="B201">
        <f t="shared" si="6"/>
        <v>4.122307244877526E-9</v>
      </c>
      <c r="C201">
        <f t="shared" si="7"/>
        <v>-2.8892338380402682E-4</v>
      </c>
    </row>
    <row r="202" spans="1:3" x14ac:dyDescent="0.25">
      <c r="A202">
        <v>20.099999999999898</v>
      </c>
      <c r="B202">
        <f t="shared" si="6"/>
        <v>3.7300178438059186E-9</v>
      </c>
      <c r="C202">
        <f t="shared" si="7"/>
        <v>-2.7635927090126307E-4</v>
      </c>
    </row>
    <row r="203" spans="1:3" x14ac:dyDescent="0.25">
      <c r="A203">
        <v>20.1999999999999</v>
      </c>
      <c r="B203">
        <f t="shared" si="6"/>
        <v>3.3750597150173995E-9</v>
      </c>
      <c r="C203">
        <f t="shared" si="7"/>
        <v>-2.6433345181824217E-4</v>
      </c>
    </row>
    <row r="204" spans="1:3" x14ac:dyDescent="0.25">
      <c r="A204">
        <v>20.299999999999901</v>
      </c>
      <c r="B204">
        <f t="shared" si="6"/>
        <v>3.053880318253521E-9</v>
      </c>
      <c r="C204">
        <f t="shared" si="7"/>
        <v>-2.5282330536610827E-4</v>
      </c>
    </row>
    <row r="205" spans="1:3" x14ac:dyDescent="0.25">
      <c r="A205">
        <v>20.399999999999899</v>
      </c>
      <c r="B205">
        <f t="shared" si="6"/>
        <v>2.7632651821593564E-9</v>
      </c>
      <c r="C205">
        <f t="shared" si="7"/>
        <v>-2.4180713648379228E-4</v>
      </c>
    </row>
    <row r="206" spans="1:3" x14ac:dyDescent="0.25">
      <c r="A206">
        <v>20.499999999999901</v>
      </c>
      <c r="B206">
        <f t="shared" si="6"/>
        <v>2.5003057327737341E-9</v>
      </c>
      <c r="C206">
        <f t="shared" si="7"/>
        <v>-2.3126413970849996E-4</v>
      </c>
    </row>
    <row r="207" spans="1:3" x14ac:dyDescent="0.25">
      <c r="A207">
        <v>20.599999999999898</v>
      </c>
      <c r="B207">
        <f t="shared" si="6"/>
        <v>2.2623701835434981E-9</v>
      </c>
      <c r="C207">
        <f t="shared" si="7"/>
        <v>-2.2117436400647514E-4</v>
      </c>
    </row>
    <row r="208" spans="1:3" x14ac:dyDescent="0.25">
      <c r="A208">
        <v>20.6999999999999</v>
      </c>
      <c r="B208">
        <f t="shared" si="6"/>
        <v>2.0470771955190359E-9</v>
      </c>
      <c r="C208">
        <f t="shared" si="7"/>
        <v>-2.1151867891823468E-4</v>
      </c>
    </row>
    <row r="209" spans="1:3" x14ac:dyDescent="0.25">
      <c r="A209">
        <v>20.799999999999901</v>
      </c>
      <c r="B209">
        <f t="shared" si="6"/>
        <v>1.8522720441137351E-9</v>
      </c>
      <c r="C209">
        <f t="shared" si="7"/>
        <v>-2.0227874197372293E-4</v>
      </c>
    </row>
    <row r="210" spans="1:3" x14ac:dyDescent="0.25">
      <c r="A210">
        <v>20.899999999999899</v>
      </c>
      <c r="B210">
        <f t="shared" si="6"/>
        <v>1.6760050538960647E-9</v>
      </c>
      <c r="C210">
        <f t="shared" si="7"/>
        <v>-1.9343696733403347E-4</v>
      </c>
    </row>
    <row r="211" spans="1:3" x14ac:dyDescent="0.25">
      <c r="A211">
        <v>20.999999999999901</v>
      </c>
      <c r="B211">
        <f t="shared" si="6"/>
        <v>1.5165120855825323E-9</v>
      </c>
      <c r="C211">
        <f t="shared" si="7"/>
        <v>-1.849764956175663E-4</v>
      </c>
    </row>
    <row r="212" spans="1:3" x14ac:dyDescent="0.25">
      <c r="A212">
        <v>21.099999999999898</v>
      </c>
      <c r="B212">
        <f t="shared" si="6"/>
        <v>1.3721968799388296E-9</v>
      </c>
      <c r="C212">
        <f t="shared" si="7"/>
        <v>-1.7688116486968007E-4</v>
      </c>
    </row>
    <row r="213" spans="1:3" x14ac:dyDescent="0.25">
      <c r="A213">
        <v>21.1999999999999</v>
      </c>
      <c r="B213">
        <f t="shared" si="6"/>
        <v>1.2416150818808483E-9</v>
      </c>
      <c r="C213">
        <f t="shared" si="7"/>
        <v>-1.6913548263606444E-4</v>
      </c>
    </row>
    <row r="214" spans="1:3" x14ac:dyDescent="0.25">
      <c r="A214">
        <v>21.299999999999901</v>
      </c>
      <c r="B214">
        <f t="shared" si="6"/>
        <v>1.1234597848835718E-9</v>
      </c>
      <c r="C214">
        <f t="shared" si="7"/>
        <v>-1.6172459910123395E-4</v>
      </c>
    </row>
    <row r="215" spans="1:3" x14ac:dyDescent="0.25">
      <c r="A215">
        <v>21.399999999999899</v>
      </c>
      <c r="B215">
        <f t="shared" si="6"/>
        <v>1.0165484510212877E-9</v>
      </c>
      <c r="C215">
        <f t="shared" si="7"/>
        <v>-1.5463428125466876E-4</v>
      </c>
    </row>
    <row r="216" spans="1:3" x14ac:dyDescent="0.25">
      <c r="A216">
        <v>21.499999999999901</v>
      </c>
      <c r="B216">
        <f t="shared" si="6"/>
        <v>9.1981107573055484E-10</v>
      </c>
      <c r="C216">
        <f t="shared" si="7"/>
        <v>-1.4785088804825878E-4</v>
      </c>
    </row>
    <row r="217" spans="1:3" x14ac:dyDescent="0.25">
      <c r="A217">
        <v>21.599999999999898</v>
      </c>
      <c r="B217">
        <f t="shared" si="6"/>
        <v>8.3227947884491548E-10</v>
      </c>
      <c r="C217">
        <f t="shared" si="7"/>
        <v>-1.4136134650980872E-4</v>
      </c>
    </row>
    <row r="218" spans="1:3" x14ac:dyDescent="0.25">
      <c r="A218">
        <v>21.6999999999999</v>
      </c>
      <c r="B218">
        <f t="shared" si="6"/>
        <v>7.5307761472234636E-10</v>
      </c>
      <c r="C218">
        <f t="shared" si="7"/>
        <v>-1.3515312877843239E-4</v>
      </c>
    </row>
    <row r="219" spans="1:3" x14ac:dyDescent="0.25">
      <c r="A219">
        <v>21.799999999999901</v>
      </c>
      <c r="B219">
        <f t="shared" si="6"/>
        <v>6.8141280448604602E-10</v>
      </c>
      <c r="C219">
        <f t="shared" si="7"/>
        <v>-1.2921423002873629E-4</v>
      </c>
    </row>
    <row r="220" spans="1:3" x14ac:dyDescent="0.25">
      <c r="A220">
        <v>21.899999999999899</v>
      </c>
      <c r="B220">
        <f t="shared" si="6"/>
        <v>6.1656780262779729E-10</v>
      </c>
      <c r="C220">
        <f t="shared" si="7"/>
        <v>-1.235331472517173E-4</v>
      </c>
    </row>
    <row r="221" spans="1:3" x14ac:dyDescent="0.25">
      <c r="A221">
        <v>21.999999999999901</v>
      </c>
      <c r="B221">
        <f t="shared" si="6"/>
        <v>5.5789361857384045E-10</v>
      </c>
      <c r="C221">
        <f t="shared" si="7"/>
        <v>-1.1809885886131955E-4</v>
      </c>
    </row>
    <row r="222" spans="1:3" x14ac:dyDescent="0.25">
      <c r="A222">
        <v>22.099999999999898</v>
      </c>
      <c r="B222">
        <f t="shared" si="6"/>
        <v>5.0480302136909338E-10</v>
      </c>
      <c r="C222">
        <f t="shared" si="7"/>
        <v>-1.1290080509658838E-4</v>
      </c>
    </row>
    <row r="223" spans="1:3" x14ac:dyDescent="0.25">
      <c r="A223">
        <v>22.1999999999999</v>
      </c>
      <c r="B223">
        <f t="shared" si="6"/>
        <v>4.5676466247236107E-10</v>
      </c>
      <c r="C223">
        <f t="shared" si="7"/>
        <v>-1.0792886919032033E-4</v>
      </c>
    </row>
    <row r="224" spans="1:3" x14ac:dyDescent="0.25">
      <c r="A224">
        <v>22.299999999999901</v>
      </c>
      <c r="B224">
        <f t="shared" si="6"/>
        <v>4.1329775784155719E-10</v>
      </c>
      <c r="C224">
        <f t="shared" si="7"/>
        <v>-1.0317335927606435E-4</v>
      </c>
    </row>
    <row r="225" spans="1:3" x14ac:dyDescent="0.25">
      <c r="A225">
        <v>22.399999999999899</v>
      </c>
      <c r="B225">
        <f t="shared" si="6"/>
        <v>3.7396727608540666E-10</v>
      </c>
      <c r="C225">
        <f t="shared" si="7"/>
        <v>-9.8624991006242084E-5</v>
      </c>
    </row>
    <row r="226" spans="1:3" x14ac:dyDescent="0.25">
      <c r="A226">
        <v>22.499999999999901</v>
      </c>
      <c r="B226">
        <f t="shared" si="6"/>
        <v>3.3837958452305974E-10</v>
      </c>
      <c r="C226">
        <f t="shared" si="7"/>
        <v>-9.4274870855060874E-5</v>
      </c>
    </row>
    <row r="227" spans="1:3" x14ac:dyDescent="0.25">
      <c r="A227">
        <v>22.599999999999898</v>
      </c>
      <c r="B227">
        <f t="shared" si="6"/>
        <v>3.0617850957592678E-10</v>
      </c>
      <c r="C227">
        <f t="shared" si="7"/>
        <v>-9.0114480080769692E-5</v>
      </c>
    </row>
    <row r="228" spans="1:3" x14ac:dyDescent="0.25">
      <c r="A228">
        <v>22.6999999999999</v>
      </c>
      <c r="B228">
        <f t="shared" si="6"/>
        <v>2.7704177206277951E-10</v>
      </c>
      <c r="C228">
        <f t="shared" si="7"/>
        <v>-8.6135659322656273E-5</v>
      </c>
    </row>
    <row r="229" spans="1:3" x14ac:dyDescent="0.25">
      <c r="A229">
        <v>22.799999999999901</v>
      </c>
      <c r="B229">
        <f t="shared" si="6"/>
        <v>2.5067776172139192E-10</v>
      </c>
      <c r="C229">
        <f t="shared" si="7"/>
        <v>-8.233059380902324E-5</v>
      </c>
    </row>
    <row r="230" spans="1:3" x14ac:dyDescent="0.25">
      <c r="A230">
        <v>22.899999999999899</v>
      </c>
      <c r="B230">
        <f t="shared" si="6"/>
        <v>2.2682261867501823E-10</v>
      </c>
      <c r="C230">
        <f t="shared" si="7"/>
        <v>-7.8691799153181207E-5</v>
      </c>
    </row>
    <row r="231" spans="1:3" x14ac:dyDescent="0.25">
      <c r="A231">
        <v>22.999999999999901</v>
      </c>
      <c r="B231">
        <f t="shared" si="6"/>
        <v>2.0523759263405822E-10</v>
      </c>
      <c r="C231">
        <f t="shared" si="7"/>
        <v>-7.5212107715288618E-5</v>
      </c>
    </row>
    <row r="232" spans="1:3" x14ac:dyDescent="0.25">
      <c r="A232">
        <v>23.099999999999898</v>
      </c>
      <c r="B232">
        <f t="shared" si="6"/>
        <v>1.8570665340291771E-10</v>
      </c>
      <c r="C232">
        <f t="shared" si="7"/>
        <v>-7.1884655508630725E-5</v>
      </c>
    </row>
    <row r="233" spans="1:3" x14ac:dyDescent="0.25">
      <c r="A233">
        <v>23.1999999999999</v>
      </c>
      <c r="B233">
        <f t="shared" si="6"/>
        <v>1.6803432877719466E-10</v>
      </c>
      <c r="C233">
        <f t="shared" si="7"/>
        <v>-6.8702869629669417E-5</v>
      </c>
    </row>
    <row r="234" spans="1:3" x14ac:dyDescent="0.25">
      <c r="A234">
        <v>23.299999999999901</v>
      </c>
      <c r="B234">
        <f t="shared" si="6"/>
        <v>1.5204374819216214E-10</v>
      </c>
      <c r="C234">
        <f t="shared" si="7"/>
        <v>-6.5660456191922242E-5</v>
      </c>
    </row>
    <row r="235" spans="1:3" x14ac:dyDescent="0.25">
      <c r="A235">
        <v>23.399999999999899</v>
      </c>
      <c r="B235">
        <f t="shared" si="6"/>
        <v>1.3757487254270588E-10</v>
      </c>
      <c r="C235">
        <f t="shared" si="7"/>
        <v>-6.275138874442193E-5</v>
      </c>
    </row>
    <row r="236" spans="1:3" x14ac:dyDescent="0.25">
      <c r="A236">
        <v>23.499999999999901</v>
      </c>
      <c r="B236">
        <f t="shared" si="6"/>
        <v>1.2448289245816806E-10</v>
      </c>
      <c r="C236">
        <f t="shared" si="7"/>
        <v>-5.9969897156191861E-5</v>
      </c>
    </row>
    <row r="237" spans="1:3" x14ac:dyDescent="0.25">
      <c r="A237">
        <v>23.599999999999898</v>
      </c>
      <c r="B237">
        <f t="shared" si="6"/>
        <v>1.1263677900149704E-10</v>
      </c>
      <c r="C237">
        <f t="shared" si="7"/>
        <v>-5.7310456948829353E-5</v>
      </c>
    </row>
    <row r="238" spans="1:3" x14ac:dyDescent="0.25">
      <c r="A238">
        <v>23.6999999999999</v>
      </c>
      <c r="B238">
        <f t="shared" si="6"/>
        <v>1.0191797228760143E-10</v>
      </c>
      <c r="C238">
        <f t="shared" si="7"/>
        <v>-5.476777905992503E-5</v>
      </c>
    </row>
    <row r="239" spans="1:3" x14ac:dyDescent="0.25">
      <c r="A239">
        <v>23.799999999999901</v>
      </c>
      <c r="B239">
        <f t="shared" si="6"/>
        <v>9.2219194896173621E-11</v>
      </c>
      <c r="C239">
        <f t="shared" si="7"/>
        <v>-5.2336800020669701E-5</v>
      </c>
    </row>
    <row r="240" spans="1:3" x14ac:dyDescent="0.25">
      <c r="A240">
        <v>23.899999999999899</v>
      </c>
      <c r="B240">
        <f t="shared" si="6"/>
        <v>8.3443378203208857E-11</v>
      </c>
      <c r="C240">
        <f t="shared" si="7"/>
        <v>-5.0012672531594835E-5</v>
      </c>
    </row>
    <row r="241" spans="1:3" x14ac:dyDescent="0.25">
      <c r="A241">
        <v>23.999999999999901</v>
      </c>
      <c r="B241">
        <f t="shared" si="6"/>
        <v>7.5502690885589464E-11</v>
      </c>
      <c r="C241">
        <f t="shared" si="7"/>
        <v>-4.7790756420976021E-5</v>
      </c>
    </row>
    <row r="242" spans="1:3" x14ac:dyDescent="0.25">
      <c r="A242">
        <v>24.099999999999898</v>
      </c>
      <c r="B242">
        <f t="shared" si="6"/>
        <v>6.8317659875684095E-11</v>
      </c>
      <c r="C242">
        <f t="shared" si="7"/>
        <v>-4.5666609970991502E-5</v>
      </c>
    </row>
    <row r="243" spans="1:3" x14ac:dyDescent="0.25">
      <c r="A243">
        <v>24.1999999999999</v>
      </c>
      <c r="B243">
        <f t="shared" si="6"/>
        <v>6.1816374968172786E-11</v>
      </c>
      <c r="C243">
        <f t="shared" si="7"/>
        <v>-4.3635981597268161E-5</v>
      </c>
    </row>
    <row r="244" spans="1:3" x14ac:dyDescent="0.25">
      <c r="A244">
        <v>24.299999999999901</v>
      </c>
      <c r="B244">
        <f t="shared" si="6"/>
        <v>5.5933769118544106E-11</v>
      </c>
      <c r="C244">
        <f t="shared" si="7"/>
        <v>-4.1694801867979119E-5</v>
      </c>
    </row>
    <row r="245" spans="1:3" x14ac:dyDescent="0.25">
      <c r="A245">
        <v>24.399999999999899</v>
      </c>
      <c r="B245">
        <f t="shared" si="6"/>
        <v>5.0610967230243044E-11</v>
      </c>
      <c r="C245">
        <f t="shared" si="7"/>
        <v>-3.9839175849161434E-5</v>
      </c>
    </row>
    <row r="246" spans="1:3" x14ac:dyDescent="0.25">
      <c r="A246">
        <v>24.499999999999901</v>
      </c>
      <c r="B246">
        <f t="shared" si="6"/>
        <v>4.5794696912915616E-11</v>
      </c>
      <c r="C246">
        <f t="shared" si="7"/>
        <v>-3.8065375763417963E-5</v>
      </c>
    </row>
    <row r="247" spans="1:3" x14ac:dyDescent="0.25">
      <c r="A247">
        <v>24.599999999999898</v>
      </c>
      <c r="B247">
        <f t="shared" si="6"/>
        <v>4.1436755314421983E-11</v>
      </c>
      <c r="C247">
        <f t="shared" si="7"/>
        <v>-3.6369833949643266E-5</v>
      </c>
    </row>
    <row r="248" spans="1:3" x14ac:dyDescent="0.25">
      <c r="A248">
        <v>24.6999999999999</v>
      </c>
      <c r="B248">
        <f t="shared" si="6"/>
        <v>3.7493526690489357E-11</v>
      </c>
      <c r="C248">
        <f t="shared" si="7"/>
        <v>-3.4749136111871627E-5</v>
      </c>
    </row>
    <row r="249" spans="1:3" x14ac:dyDescent="0.25">
      <c r="A249">
        <v>24.799999999999901</v>
      </c>
      <c r="B249">
        <f t="shared" si="6"/>
        <v>3.392554588368468E-11</v>
      </c>
      <c r="C249">
        <f t="shared" si="7"/>
        <v>-3.3200014845793452E-5</v>
      </c>
    </row>
    <row r="250" spans="1:3" x14ac:dyDescent="0.25">
      <c r="A250">
        <v>24.899999999999899</v>
      </c>
      <c r="B250">
        <f t="shared" si="6"/>
        <v>3.0697103342853784E-11</v>
      </c>
      <c r="C250">
        <f t="shared" si="7"/>
        <v>-3.1719343431912539E-5</v>
      </c>
    </row>
    <row r="251" spans="1:3" x14ac:dyDescent="0.25">
      <c r="A251">
        <v>24.999999999999901</v>
      </c>
      <c r="B251">
        <f t="shared" si="6"/>
        <v>2.7775887729930804E-11</v>
      </c>
      <c r="C251">
        <f t="shared" si="7"/>
        <v>-3.0304129884734021E-5</v>
      </c>
    </row>
    <row r="252" spans="1:3" x14ac:dyDescent="0.25">
      <c r="A252">
        <v>25.099999999999898</v>
      </c>
      <c r="B252">
        <f t="shared" si="6"/>
        <v>2.5132662537207334E-11</v>
      </c>
      <c r="C252">
        <f t="shared" si="7"/>
        <v>-2.8951511247773284E-5</v>
      </c>
    </row>
    <row r="253" spans="1:3" x14ac:dyDescent="0.25">
      <c r="A253">
        <v>25.1999999999999</v>
      </c>
      <c r="B253">
        <f t="shared" si="6"/>
        <v>2.2740973478535739E-11</v>
      </c>
      <c r="C253">
        <f t="shared" si="7"/>
        <v>-2.7658748124561526E-5</v>
      </c>
    </row>
    <row r="254" spans="1:3" x14ac:dyDescent="0.25">
      <c r="A254">
        <v>25.299999999999901</v>
      </c>
      <c r="B254">
        <f t="shared" si="6"/>
        <v>2.0576883725942483E-11</v>
      </c>
      <c r="C254">
        <f t="shared" si="7"/>
        <v>-2.6423219436199508E-5</v>
      </c>
    </row>
    <row r="255" spans="1:3" x14ac:dyDescent="0.25">
      <c r="A255">
        <v>25.399999999999899</v>
      </c>
      <c r="B255">
        <f t="shared" si="6"/>
        <v>1.8618734341807992E-11</v>
      </c>
      <c r="C255">
        <f t="shared" si="7"/>
        <v>-2.5242417396369122E-5</v>
      </c>
    </row>
    <row r="256" spans="1:3" x14ac:dyDescent="0.25">
      <c r="A256">
        <v>25.499999999999901</v>
      </c>
      <c r="B256">
        <f t="shared" si="6"/>
        <v>1.6846927508938971E-11</v>
      </c>
      <c r="C256">
        <f t="shared" si="7"/>
        <v>-2.4113942695061645E-5</v>
      </c>
    </row>
    <row r="257" spans="1:3" x14ac:dyDescent="0.25">
      <c r="A257">
        <v>25.599999999999898</v>
      </c>
      <c r="B257">
        <f t="shared" si="6"/>
        <v>1.5243730389027351E-11</v>
      </c>
      <c r="C257">
        <f t="shared" si="7"/>
        <v>-2.3035499882616775E-5</v>
      </c>
    </row>
    <row r="258" spans="1:3" x14ac:dyDescent="0.25">
      <c r="A258">
        <v>25.6999999999999</v>
      </c>
      <c r="B258">
        <f t="shared" ref="B258:B284" si="8">S_1(1,A258)</f>
        <v>1.3793097646443782E-11</v>
      </c>
      <c r="C258">
        <f t="shared" ref="C258:C284" si="9">S_2(1,A258)</f>
        <v>-2.2004892945988945E-5</v>
      </c>
    </row>
    <row r="259" spans="1:3" x14ac:dyDescent="0.25">
      <c r="A259">
        <v>25.799999999999901</v>
      </c>
      <c r="B259">
        <f t="shared" si="8"/>
        <v>1.2480510861126046E-11</v>
      </c>
      <c r="C259">
        <f t="shared" si="9"/>
        <v>-2.1020021069471155E-5</v>
      </c>
    </row>
    <row r="260" spans="1:3" x14ac:dyDescent="0.25">
      <c r="A260">
        <v>25.899999999999899</v>
      </c>
      <c r="B260">
        <f t="shared" si="8"/>
        <v>1.1292833223351064E-11</v>
      </c>
      <c r="C260">
        <f t="shared" si="9"/>
        <v>-2.0078874572405554E-5</v>
      </c>
    </row>
    <row r="261" spans="1:3" x14ac:dyDescent="0.25">
      <c r="A261">
        <v>25.999999999999901</v>
      </c>
      <c r="B261">
        <f t="shared" si="8"/>
        <v>1.0218178056127666E-11</v>
      </c>
      <c r="C261">
        <f t="shared" si="9"/>
        <v>-1.9179531016700931E-5</v>
      </c>
    </row>
    <row r="262" spans="1:3" x14ac:dyDescent="0.25">
      <c r="A262">
        <v>26.099999999999898</v>
      </c>
      <c r="B262">
        <f t="shared" si="8"/>
        <v>9.245789849338278E-12</v>
      </c>
      <c r="C262">
        <f t="shared" si="9"/>
        <v>-1.8320151477256747E-5</v>
      </c>
    </row>
    <row r="263" spans="1:3" x14ac:dyDescent="0.25">
      <c r="A263">
        <v>26.1999999999999</v>
      </c>
      <c r="B263">
        <f t="shared" si="8"/>
        <v>8.3659366149783194E-12</v>
      </c>
      <c r="C263">
        <f t="shared" si="9"/>
        <v>-1.749897696866138E-5</v>
      </c>
    </row>
    <row r="264" spans="1:3" x14ac:dyDescent="0.25">
      <c r="A264">
        <v>26.299999999999901</v>
      </c>
      <c r="B264">
        <f t="shared" si="8"/>
        <v>7.5698124861494659E-12</v>
      </c>
      <c r="C264">
        <f t="shared" si="9"/>
        <v>-1.671432502179336E-5</v>
      </c>
    </row>
    <row r="265" spans="1:3" x14ac:dyDescent="0.25">
      <c r="A265">
        <v>26.399999999999899</v>
      </c>
      <c r="B265">
        <f t="shared" si="8"/>
        <v>6.8494495849838662E-12</v>
      </c>
      <c r="C265">
        <f t="shared" si="9"/>
        <v>-1.5964586404202508E-5</v>
      </c>
    </row>
    <row r="266" spans="1:3" x14ac:dyDescent="0.25">
      <c r="A266">
        <v>26.499999999999901</v>
      </c>
      <c r="B266">
        <f t="shared" si="8"/>
        <v>6.1976382774442675E-12</v>
      </c>
      <c r="C266">
        <f t="shared" si="9"/>
        <v>-1.5248221978389585E-5</v>
      </c>
    </row>
    <row r="267" spans="1:3" x14ac:dyDescent="0.25">
      <c r="A267">
        <v>26.599999999999898</v>
      </c>
      <c r="B267">
        <f t="shared" si="8"/>
        <v>5.6078550168835147E-12</v>
      </c>
      <c r="C267">
        <f t="shared" si="9"/>
        <v>-1.4563759692334772E-5</v>
      </c>
    </row>
    <row r="268" spans="1:3" x14ac:dyDescent="0.25">
      <c r="A268">
        <v>26.6999999999999</v>
      </c>
      <c r="B268">
        <f t="shared" si="8"/>
        <v>5.0741970541968748E-12</v>
      </c>
      <c r="C268">
        <f t="shared" si="9"/>
        <v>-1.3909791696847374E-5</v>
      </c>
    </row>
    <row r="269" spans="1:3" x14ac:dyDescent="0.25">
      <c r="A269">
        <v>26.799999999999901</v>
      </c>
      <c r="B269">
        <f t="shared" si="8"/>
        <v>4.5913233611251658E-12</v>
      </c>
      <c r="C269">
        <f t="shared" si="9"/>
        <v>-1.3284971584525499E-5</v>
      </c>
    </row>
    <row r="270" spans="1:3" x14ac:dyDescent="0.25">
      <c r="A270">
        <v>26.899999999999899</v>
      </c>
      <c r="B270">
        <f t="shared" si="8"/>
        <v>4.1544011754486873E-12</v>
      </c>
      <c r="C270">
        <f t="shared" si="9"/>
        <v>-1.2688011745319674E-5</v>
      </c>
    </row>
    <row r="271" spans="1:3" x14ac:dyDescent="0.25">
      <c r="A271">
        <v>26.999999999999901</v>
      </c>
      <c r="B271">
        <f t="shared" si="8"/>
        <v>3.7590576330785405E-12</v>
      </c>
      <c r="C271">
        <f t="shared" si="9"/>
        <v>-1.2117680833894304E-5</v>
      </c>
    </row>
    <row r="272" spans="1:3" x14ac:dyDescent="0.25">
      <c r="A272">
        <v>27.099999999999898</v>
      </c>
      <c r="B272">
        <f t="shared" si="8"/>
        <v>3.4013360029631595E-12</v>
      </c>
      <c r="C272">
        <f t="shared" si="9"/>
        <v>-1.1572801344172256E-5</v>
      </c>
    </row>
    <row r="273" spans="1:3" x14ac:dyDescent="0.25">
      <c r="A273">
        <v>27.1999999999999</v>
      </c>
      <c r="B273">
        <f t="shared" si="8"/>
        <v>3.0776560867939317E-12</v>
      </c>
      <c r="C273">
        <f t="shared" si="9"/>
        <v>-1.1052247286631356E-5</v>
      </c>
    </row>
    <row r="274" spans="1:3" x14ac:dyDescent="0.25">
      <c r="A274">
        <v>27.299999999999901</v>
      </c>
      <c r="B274">
        <f t="shared" si="8"/>
        <v>2.7847783871772724E-12</v>
      </c>
      <c r="C274">
        <f t="shared" si="9"/>
        <v>-1.0554941964099941E-5</v>
      </c>
    </row>
    <row r="275" spans="1:3" x14ac:dyDescent="0.25">
      <c r="A275">
        <v>27.399999999999899</v>
      </c>
      <c r="B275">
        <f t="shared" si="8"/>
        <v>2.5197716856558324E-12</v>
      </c>
      <c r="C275">
        <f t="shared" si="9"/>
        <v>-1.0079855841968004E-5</v>
      </c>
    </row>
    <row r="276" spans="1:3" x14ac:dyDescent="0.25">
      <c r="A276">
        <v>27.499999999999901</v>
      </c>
      <c r="B276">
        <f t="shared" si="8"/>
        <v>2.2799837060889373E-12</v>
      </c>
      <c r="C276">
        <f t="shared" si="9"/>
        <v>-9.6260045088951636E-6</v>
      </c>
    </row>
    <row r="277" spans="1:3" x14ac:dyDescent="0.25">
      <c r="A277">
        <v>27.599999999999898</v>
      </c>
      <c r="B277">
        <f t="shared" si="8"/>
        <v>2.0630145697815767E-12</v>
      </c>
      <c r="C277">
        <f t="shared" si="9"/>
        <v>-9.1924467242542521E-6</v>
      </c>
    </row>
    <row r="278" spans="1:3" x14ac:dyDescent="0.25">
      <c r="A278">
        <v>27.6999999999999</v>
      </c>
      <c r="B278">
        <f t="shared" si="8"/>
        <v>1.8666927766917253E-12</v>
      </c>
      <c r="C278">
        <f t="shared" si="9"/>
        <v>-8.7782825487004735E-6</v>
      </c>
    </row>
    <row r="279" spans="1:3" x14ac:dyDescent="0.25">
      <c r="A279">
        <v>27.799999999999901</v>
      </c>
      <c r="B279">
        <f t="shared" si="8"/>
        <v>1.6890534723281143E-12</v>
      </c>
      <c r="C279">
        <f t="shared" si="9"/>
        <v>-8.3826515544026909E-6</v>
      </c>
    </row>
    <row r="280" spans="1:3" x14ac:dyDescent="0.25">
      <c r="A280">
        <v>27.899999999999899</v>
      </c>
      <c r="B280">
        <f t="shared" si="8"/>
        <v>1.5283187828260462E-12</v>
      </c>
      <c r="C280">
        <f t="shared" si="9"/>
        <v>-8.004731111612728E-6</v>
      </c>
    </row>
    <row r="281" spans="1:3" x14ac:dyDescent="0.25">
      <c r="A281">
        <v>27.999999999999901</v>
      </c>
      <c r="B281">
        <f t="shared" si="8"/>
        <v>1.3828800213881781E-12</v>
      </c>
      <c r="C281">
        <f t="shared" si="9"/>
        <v>-7.6437347483838097E-6</v>
      </c>
    </row>
    <row r="282" spans="1:3" x14ac:dyDescent="0.25">
      <c r="A282">
        <v>28.099999999999898</v>
      </c>
      <c r="B282">
        <f t="shared" si="8"/>
        <v>1.2512815880063943E-12</v>
      </c>
      <c r="C282">
        <f t="shared" si="9"/>
        <v>-7.2989105803787139E-6</v>
      </c>
    </row>
    <row r="283" spans="1:3" x14ac:dyDescent="0.25">
      <c r="A283">
        <v>28.1999999999999</v>
      </c>
      <c r="B283">
        <f t="shared" si="8"/>
        <v>1.1322064013276396E-12</v>
      </c>
      <c r="C283">
        <f t="shared" si="9"/>
        <v>-6.9695398078322709E-6</v>
      </c>
    </row>
    <row r="284" spans="1:3" x14ac:dyDescent="0.25">
      <c r="A284">
        <v>28.299999999999901</v>
      </c>
      <c r="B284">
        <f t="shared" si="8"/>
        <v>1.0244627168610854E-12</v>
      </c>
      <c r="C284">
        <f t="shared" si="9"/>
        <v>-6.6549352768529936E-6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ahmad</cp:lastModifiedBy>
  <dcterms:created xsi:type="dcterms:W3CDTF">2016-11-18T01:39:50Z</dcterms:created>
  <dcterms:modified xsi:type="dcterms:W3CDTF">2016-11-18T04:14:20Z</dcterms:modified>
</cp:coreProperties>
</file>