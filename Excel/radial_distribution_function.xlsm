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hmad\DOCUME~1\MobaXterm\slash\RemoteFiles\328470_2_3\"/>
    </mc:Choice>
  </mc:AlternateContent>
  <bookViews>
    <workbookView xWindow="0" yWindow="0" windowWidth="28800" windowHeight="12360"/>
  </bookViews>
  <sheets>
    <sheet name="Sheet1" sheetId="1" r:id="rId1"/>
    <sheet name="Sheet3" sheetId="3" r:id="rId2"/>
    <sheet name="Sheet2" sheetId="2" r:id="rId3"/>
  </sheets>
  <functionGroups builtInGroupCount="18"/>
  <definedNames>
    <definedName name="solver_adj" localSheetId="0" hidden="1">Sheet1!$K$14:$P$15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Sheet1!$Q$10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Sheet1!$N$10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3" l="1"/>
  <c r="J14" i="3"/>
  <c r="J15" i="3"/>
  <c r="J16" i="3"/>
  <c r="J17" i="3"/>
  <c r="J12" i="3"/>
  <c r="R37" i="1"/>
  <c r="R69" i="1"/>
  <c r="R101" i="1"/>
  <c r="R34" i="1"/>
  <c r="R66" i="1"/>
  <c r="R98" i="1"/>
  <c r="R31" i="1"/>
  <c r="R63" i="1"/>
  <c r="R95" i="1"/>
  <c r="R28" i="1"/>
  <c r="R60" i="1"/>
  <c r="R92" i="1"/>
  <c r="R124" i="1"/>
  <c r="R45" i="1"/>
  <c r="R109" i="1"/>
  <c r="R74" i="1"/>
  <c r="R39" i="1"/>
  <c r="R103" i="1"/>
  <c r="R68" i="1"/>
  <c r="R81" i="1"/>
  <c r="R46" i="1"/>
  <c r="R110" i="1"/>
  <c r="R75" i="1"/>
  <c r="R40" i="1"/>
  <c r="R104" i="1"/>
  <c r="R61" i="1"/>
  <c r="R58" i="1"/>
  <c r="R55" i="1"/>
  <c r="R119" i="1"/>
  <c r="R116" i="1"/>
  <c r="R65" i="1"/>
  <c r="R62" i="1"/>
  <c r="R59" i="1"/>
  <c r="R56" i="1"/>
  <c r="R88" i="1"/>
  <c r="R41" i="1"/>
  <c r="R73" i="1"/>
  <c r="R105" i="1"/>
  <c r="R38" i="1"/>
  <c r="R70" i="1"/>
  <c r="R102" i="1"/>
  <c r="R35" i="1"/>
  <c r="R67" i="1"/>
  <c r="R99" i="1"/>
  <c r="R32" i="1"/>
  <c r="R64" i="1"/>
  <c r="R96" i="1"/>
  <c r="R77" i="1"/>
  <c r="R42" i="1"/>
  <c r="R106" i="1"/>
  <c r="R71" i="1"/>
  <c r="R36" i="1"/>
  <c r="R100" i="1"/>
  <c r="R49" i="1"/>
  <c r="R113" i="1"/>
  <c r="R78" i="1"/>
  <c r="R43" i="1"/>
  <c r="R107" i="1"/>
  <c r="R72" i="1"/>
  <c r="R93" i="1"/>
  <c r="R90" i="1"/>
  <c r="R87" i="1"/>
  <c r="R84" i="1"/>
  <c r="R97" i="1"/>
  <c r="R94" i="1"/>
  <c r="R91" i="1"/>
  <c r="R24" i="1"/>
  <c r="R53" i="1"/>
  <c r="R85" i="1"/>
  <c r="R117" i="1"/>
  <c r="R50" i="1"/>
  <c r="R82" i="1"/>
  <c r="R114" i="1"/>
  <c r="R47" i="1"/>
  <c r="R79" i="1"/>
  <c r="R111" i="1"/>
  <c r="R44" i="1"/>
  <c r="R76" i="1"/>
  <c r="R108" i="1"/>
  <c r="R25" i="1"/>
  <c r="R57" i="1"/>
  <c r="R89" i="1"/>
  <c r="R121" i="1"/>
  <c r="R54" i="1"/>
  <c r="R86" i="1"/>
  <c r="R118" i="1"/>
  <c r="R51" i="1"/>
  <c r="R83" i="1"/>
  <c r="R115" i="1"/>
  <c r="R48" i="1"/>
  <c r="R80" i="1"/>
  <c r="R112" i="1"/>
  <c r="R29" i="1"/>
  <c r="R26" i="1"/>
  <c r="R122" i="1"/>
  <c r="R52" i="1"/>
  <c r="R33" i="1"/>
  <c r="R30" i="1"/>
  <c r="R27" i="1"/>
  <c r="R123" i="1"/>
  <c r="R120" i="1"/>
  <c r="K8" i="1" l="1"/>
  <c r="K7" i="1"/>
  <c r="O2" i="1"/>
  <c r="N2" i="1"/>
  <c r="M2" i="1"/>
  <c r="D11" i="1"/>
  <c r="B13" i="1" s="1"/>
  <c r="E11" i="1"/>
  <c r="B14" i="1" s="1"/>
  <c r="F11" i="1"/>
  <c r="B15" i="1" s="1"/>
  <c r="G11" i="1"/>
  <c r="B16" i="1" s="1"/>
  <c r="H11" i="1"/>
  <c r="B17" i="1" s="1"/>
  <c r="C11" i="1"/>
  <c r="B12" i="1" s="1"/>
  <c r="K6" i="1"/>
  <c r="K5" i="1"/>
  <c r="K3" i="1"/>
  <c r="L2" i="1"/>
  <c r="B8" i="1"/>
  <c r="B7" i="1"/>
  <c r="B6" i="1"/>
  <c r="B5" i="1"/>
  <c r="B4" i="1"/>
  <c r="B3" i="1"/>
  <c r="D2" i="1"/>
  <c r="E2" i="1"/>
  <c r="F2" i="1"/>
  <c r="G2" i="1"/>
  <c r="H2" i="1"/>
  <c r="C2" i="1"/>
  <c r="J23" i="1"/>
  <c r="K23" i="1"/>
  <c r="L23" i="1"/>
  <c r="M23" i="1"/>
  <c r="N23" i="1"/>
  <c r="I23" i="1"/>
  <c r="Q6" i="2"/>
  <c r="B183" i="2"/>
  <c r="B44" i="2"/>
  <c r="C204" i="2"/>
  <c r="C171" i="2"/>
  <c r="C226" i="2"/>
  <c r="B16" i="2"/>
  <c r="C79" i="2"/>
  <c r="B70" i="2"/>
  <c r="C128" i="2"/>
  <c r="B221" i="2"/>
  <c r="C164" i="2"/>
  <c r="B130" i="2"/>
  <c r="B82" i="2"/>
  <c r="B98" i="2"/>
  <c r="C233" i="2"/>
  <c r="C191" i="2"/>
  <c r="B81" i="2"/>
  <c r="B90" i="2"/>
  <c r="C237" i="2"/>
  <c r="C84" i="2"/>
  <c r="C245" i="2"/>
  <c r="C136" i="2"/>
  <c r="B80" i="2"/>
  <c r="C170" i="2"/>
  <c r="C72" i="2"/>
  <c r="B195" i="2"/>
  <c r="B190" i="2"/>
  <c r="B83" i="2"/>
  <c r="C274" i="2"/>
  <c r="B237" i="2"/>
  <c r="B64" i="2"/>
  <c r="B22" i="2"/>
  <c r="B5" i="2"/>
  <c r="C112" i="2"/>
  <c r="B75" i="2"/>
  <c r="B74" i="2"/>
  <c r="C263" i="2"/>
  <c r="C60" i="2"/>
  <c r="B1" i="2"/>
  <c r="B148" i="2"/>
  <c r="C154" i="2"/>
  <c r="B31" i="2"/>
  <c r="B23" i="2"/>
  <c r="C97" i="2"/>
  <c r="C75" i="2"/>
  <c r="B238" i="2"/>
  <c r="C76" i="2"/>
  <c r="C61" i="2"/>
  <c r="C200" i="2"/>
  <c r="C80" i="2"/>
  <c r="B86" i="2"/>
  <c r="B19" i="2"/>
  <c r="C238" i="2"/>
  <c r="C208" i="2"/>
  <c r="B27" i="2"/>
  <c r="B203" i="2"/>
  <c r="B192" i="2"/>
  <c r="C6" i="2"/>
  <c r="C62" i="2"/>
  <c r="C175" i="2"/>
  <c r="C166" i="2"/>
  <c r="C107" i="2"/>
  <c r="B207" i="2"/>
  <c r="B143" i="2"/>
  <c r="B196" i="2"/>
  <c r="B160" i="2"/>
  <c r="C249" i="2"/>
  <c r="C255" i="2"/>
  <c r="C118" i="2"/>
  <c r="C192" i="2"/>
  <c r="B65" i="2"/>
  <c r="C25" i="1"/>
  <c r="G68" i="1"/>
  <c r="G63" i="1"/>
  <c r="E70" i="1"/>
  <c r="C120" i="1"/>
  <c r="F55" i="1"/>
  <c r="E109" i="1"/>
  <c r="E123" i="1"/>
  <c r="F52" i="1"/>
  <c r="E112" i="1"/>
  <c r="G123" i="1"/>
  <c r="C39" i="1"/>
  <c r="D60" i="1"/>
  <c r="G105" i="1"/>
  <c r="E80" i="1"/>
  <c r="D106" i="1"/>
  <c r="F54" i="1"/>
  <c r="F90" i="1"/>
  <c r="F80" i="1"/>
  <c r="C87" i="1"/>
  <c r="F123" i="1"/>
  <c r="F27" i="1"/>
  <c r="G27" i="1"/>
  <c r="F89" i="1"/>
  <c r="D62" i="1"/>
  <c r="C123" i="1"/>
  <c r="B73" i="1"/>
  <c r="C118" i="1"/>
  <c r="B25" i="1"/>
  <c r="G71" i="1"/>
  <c r="F51" i="1"/>
  <c r="G103" i="1"/>
  <c r="E87" i="1"/>
  <c r="G95" i="1"/>
  <c r="F118" i="1"/>
  <c r="B26" i="1"/>
  <c r="E119" i="1"/>
  <c r="F24" i="1"/>
  <c r="E111" i="1"/>
  <c r="C26" i="1"/>
  <c r="G77" i="1"/>
  <c r="F65" i="1"/>
  <c r="E68" i="1"/>
  <c r="D103" i="1"/>
  <c r="E88" i="1"/>
  <c r="E97" i="1"/>
  <c r="D91" i="1"/>
  <c r="G52" i="1"/>
  <c r="D96" i="1"/>
  <c r="E100" i="1"/>
  <c r="F60" i="1"/>
  <c r="F81" i="1"/>
  <c r="G122" i="1"/>
  <c r="E45" i="1"/>
  <c r="E46" i="1"/>
  <c r="G33" i="1"/>
  <c r="B209" i="2"/>
  <c r="B32" i="2"/>
  <c r="C70" i="2"/>
  <c r="B88" i="2"/>
  <c r="C150" i="2"/>
  <c r="C24" i="2"/>
  <c r="C270" i="2"/>
  <c r="C161" i="2"/>
  <c r="B199" i="2"/>
  <c r="C77" i="2"/>
  <c r="B270" i="2"/>
  <c r="B101" i="2"/>
  <c r="B255" i="2"/>
  <c r="B179" i="2"/>
  <c r="B284" i="2"/>
  <c r="C143" i="2"/>
  <c r="B13" i="2"/>
  <c r="C212" i="2"/>
  <c r="B260" i="2"/>
  <c r="C66" i="2"/>
  <c r="C149" i="2"/>
  <c r="B132" i="2"/>
  <c r="B136" i="2"/>
  <c r="C31" i="2"/>
  <c r="B106" i="2"/>
  <c r="B161" i="2"/>
  <c r="C280" i="2"/>
  <c r="C210" i="2"/>
  <c r="B15" i="2"/>
  <c r="B266" i="2"/>
  <c r="C201" i="2"/>
  <c r="C10" i="2"/>
  <c r="B138" i="2"/>
  <c r="C141" i="2"/>
  <c r="B46" i="2"/>
  <c r="C174" i="2"/>
  <c r="B253" i="2"/>
  <c r="C83" i="2"/>
  <c r="B69" i="2"/>
  <c r="B232" i="2"/>
  <c r="C93" i="2"/>
  <c r="C275" i="2"/>
  <c r="B252" i="2"/>
  <c r="C133" i="2"/>
  <c r="B99" i="2"/>
  <c r="C183" i="2"/>
  <c r="C52" i="2"/>
  <c r="C28" i="2"/>
  <c r="C279" i="2"/>
  <c r="C139" i="2"/>
  <c r="B140" i="2"/>
  <c r="C127" i="2"/>
  <c r="C36" i="2"/>
  <c r="B43" i="2"/>
  <c r="C159" i="2"/>
  <c r="B242" i="2"/>
  <c r="B28" i="2"/>
  <c r="C22" i="2"/>
  <c r="B9" i="2"/>
  <c r="C14" i="2"/>
  <c r="C172" i="2"/>
  <c r="B20" i="2"/>
  <c r="C256" i="2"/>
  <c r="C267" i="2"/>
  <c r="C27" i="2"/>
  <c r="C145" i="2"/>
  <c r="C282" i="2"/>
  <c r="C252" i="2"/>
  <c r="Q15" i="2"/>
  <c r="B2" i="2"/>
  <c r="C144" i="2"/>
  <c r="E35" i="1"/>
  <c r="D58" i="1"/>
  <c r="F73" i="1"/>
  <c r="G100" i="1"/>
  <c r="B54" i="1"/>
  <c r="C67" i="1"/>
  <c r="D31" i="1"/>
  <c r="C86" i="1"/>
  <c r="G121" i="1"/>
  <c r="D77" i="1"/>
  <c r="B46" i="1"/>
  <c r="B62" i="1"/>
  <c r="G51" i="1"/>
  <c r="D55" i="1"/>
  <c r="F107" i="1"/>
  <c r="E90" i="1"/>
  <c r="C65" i="1"/>
  <c r="C61" i="1"/>
  <c r="E98" i="1"/>
  <c r="E33" i="1"/>
  <c r="F91" i="1"/>
  <c r="C85" i="1"/>
  <c r="B67" i="1"/>
  <c r="F113" i="1"/>
  <c r="C72" i="1"/>
  <c r="C92" i="1"/>
  <c r="B102" i="1"/>
  <c r="F49" i="1"/>
  <c r="F111" i="1"/>
  <c r="B27" i="1"/>
  <c r="B42" i="1"/>
  <c r="F112" i="1"/>
  <c r="B45" i="1"/>
  <c r="C111" i="1"/>
  <c r="C113" i="1"/>
  <c r="F117" i="1"/>
  <c r="C62" i="1"/>
  <c r="G107" i="1"/>
  <c r="C45" i="1"/>
  <c r="B110" i="1"/>
  <c r="G26" i="1"/>
  <c r="C35" i="1"/>
  <c r="E82" i="1"/>
  <c r="E104" i="1"/>
  <c r="C80" i="1"/>
  <c r="B121" i="1"/>
  <c r="D63" i="1"/>
  <c r="E40" i="1"/>
  <c r="F79" i="1"/>
  <c r="G49" i="1"/>
  <c r="F48" i="1"/>
  <c r="E59" i="1"/>
  <c r="D68" i="1"/>
  <c r="F70" i="1"/>
  <c r="C52" i="1"/>
  <c r="C90" i="1"/>
  <c r="C19" i="2"/>
  <c r="C92" i="2"/>
  <c r="C197" i="2"/>
  <c r="B45" i="2"/>
  <c r="C54" i="2"/>
  <c r="C230" i="2"/>
  <c r="B157" i="2"/>
  <c r="C73" i="2"/>
  <c r="C12" i="2"/>
  <c r="B126" i="2"/>
  <c r="C232" i="2"/>
  <c r="C180" i="2"/>
  <c r="B92" i="2"/>
  <c r="C261" i="2"/>
  <c r="C224" i="2"/>
  <c r="C29" i="2"/>
  <c r="C189" i="2"/>
  <c r="C9" i="2"/>
  <c r="B223" i="2"/>
  <c r="B54" i="2"/>
  <c r="C165" i="2"/>
  <c r="B177" i="2"/>
  <c r="C207" i="2"/>
  <c r="B164" i="2"/>
  <c r="C71" i="2"/>
  <c r="C163" i="2"/>
  <c r="B109" i="2"/>
  <c r="C117" i="2"/>
  <c r="B17" i="2"/>
  <c r="B214" i="2"/>
  <c r="B198" i="2"/>
  <c r="C277" i="2"/>
  <c r="C140" i="2"/>
  <c r="C13" i="2"/>
  <c r="B171" i="2"/>
  <c r="B200" i="2"/>
  <c r="C113" i="2"/>
  <c r="B50" i="2"/>
  <c r="C215" i="2"/>
  <c r="B156" i="2"/>
  <c r="B41" i="2"/>
  <c r="C105" i="2"/>
  <c r="C248" i="2"/>
  <c r="B193" i="2"/>
  <c r="B226" i="2"/>
  <c r="C132" i="2"/>
  <c r="C111" i="2"/>
  <c r="B151" i="2"/>
  <c r="C246" i="2"/>
  <c r="C251" i="2"/>
  <c r="B104" i="2"/>
  <c r="B110" i="2"/>
  <c r="C281" i="2"/>
  <c r="C15" i="2"/>
  <c r="C181" i="2"/>
  <c r="C259" i="2"/>
  <c r="B182" i="2"/>
  <c r="B6" i="2"/>
  <c r="B134" i="2"/>
  <c r="B239" i="2"/>
  <c r="C59" i="2"/>
  <c r="C44" i="2"/>
  <c r="B117" i="2"/>
  <c r="C23" i="2"/>
  <c r="B24" i="2"/>
  <c r="B215" i="2"/>
  <c r="C81" i="2"/>
  <c r="C123" i="2"/>
  <c r="B55" i="2"/>
  <c r="B228" i="2"/>
  <c r="B30" i="2"/>
  <c r="B4" i="2"/>
  <c r="C69" i="1"/>
  <c r="F30" i="1"/>
  <c r="D98" i="1"/>
  <c r="D69" i="1"/>
  <c r="F75" i="1"/>
  <c r="B112" i="1"/>
  <c r="E36" i="1"/>
  <c r="F124" i="1"/>
  <c r="E96" i="1"/>
  <c r="B83" i="1"/>
  <c r="F33" i="1"/>
  <c r="E57" i="1"/>
  <c r="F47" i="1"/>
  <c r="C91" i="1"/>
  <c r="F61" i="1"/>
  <c r="F102" i="1"/>
  <c r="E25" i="1"/>
  <c r="C58" i="1"/>
  <c r="D120" i="1"/>
  <c r="D37" i="1"/>
  <c r="B70" i="1"/>
  <c r="F29" i="1"/>
  <c r="E94" i="1"/>
  <c r="F39" i="1"/>
  <c r="E93" i="1"/>
  <c r="G102" i="1"/>
  <c r="C81" i="1"/>
  <c r="E95" i="1"/>
  <c r="D54" i="1"/>
  <c r="D123" i="1"/>
  <c r="G55" i="1"/>
  <c r="E69" i="1"/>
  <c r="G62" i="1"/>
  <c r="F67" i="1"/>
  <c r="E102" i="1"/>
  <c r="C55" i="1"/>
  <c r="E76" i="1"/>
  <c r="B39" i="1"/>
  <c r="D39" i="1"/>
  <c r="D27" i="1"/>
  <c r="F97" i="1"/>
  <c r="B34" i="1"/>
  <c r="C94" i="1"/>
  <c r="C71" i="1"/>
  <c r="E89" i="1"/>
  <c r="C30" i="1"/>
  <c r="C75" i="1"/>
  <c r="C46" i="1"/>
  <c r="C36" i="1"/>
  <c r="C43" i="1"/>
  <c r="B78" i="1"/>
  <c r="D73" i="1"/>
  <c r="B100" i="1"/>
  <c r="F68" i="1"/>
  <c r="C79" i="1"/>
  <c r="C124" i="2"/>
  <c r="C69" i="2"/>
  <c r="B154" i="2"/>
  <c r="B78" i="2"/>
  <c r="C21" i="2"/>
  <c r="C240" i="2"/>
  <c r="B268" i="2"/>
  <c r="C33" i="2"/>
  <c r="C114" i="2"/>
  <c r="B42" i="2"/>
  <c r="C228" i="2"/>
  <c r="B247" i="2"/>
  <c r="C157" i="2"/>
  <c r="C247" i="2"/>
  <c r="B18" i="2"/>
  <c r="B241" i="2"/>
  <c r="C1" i="2"/>
  <c r="B248" i="2"/>
  <c r="B77" i="2"/>
  <c r="C58" i="2"/>
  <c r="C260" i="2"/>
  <c r="C195" i="2"/>
  <c r="C63" i="2"/>
  <c r="C49" i="2"/>
  <c r="C46" i="2"/>
  <c r="B33" i="2"/>
  <c r="B124" i="2"/>
  <c r="B162" i="2"/>
  <c r="B229" i="2"/>
  <c r="C120" i="2"/>
  <c r="B76" i="2"/>
  <c r="B150" i="2"/>
  <c r="C103" i="2"/>
  <c r="B233" i="2"/>
  <c r="C214" i="2"/>
  <c r="C179" i="2"/>
  <c r="B47" i="2"/>
  <c r="B56" i="2"/>
  <c r="B3" i="2"/>
  <c r="C35" i="2"/>
  <c r="C96" i="2"/>
  <c r="Q12" i="2"/>
  <c r="C50" i="2"/>
  <c r="B174" i="2"/>
  <c r="B94" i="2"/>
  <c r="D101" i="1"/>
  <c r="D75" i="1"/>
  <c r="C107" i="1"/>
  <c r="G81" i="1"/>
  <c r="B59" i="1"/>
  <c r="D115" i="1"/>
  <c r="G30" i="1"/>
  <c r="C82" i="1"/>
  <c r="C122" i="1"/>
  <c r="D114" i="1"/>
  <c r="E61" i="1"/>
  <c r="G42" i="1"/>
  <c r="E26" i="1"/>
  <c r="G78" i="1"/>
  <c r="G56" i="1"/>
  <c r="D53" i="1"/>
  <c r="D65" i="1"/>
  <c r="F74" i="1"/>
  <c r="F103" i="1"/>
  <c r="B94" i="1"/>
  <c r="C42" i="1"/>
  <c r="D59" i="1"/>
  <c r="D78" i="1"/>
  <c r="C33" i="1"/>
  <c r="B36" i="1"/>
  <c r="G74" i="1"/>
  <c r="B80" i="1"/>
  <c r="B117" i="1"/>
  <c r="E81" i="1"/>
  <c r="B88" i="1"/>
  <c r="G85" i="1"/>
  <c r="C100" i="1"/>
  <c r="D104" i="1"/>
  <c r="C37" i="1"/>
  <c r="G110" i="1"/>
  <c r="B35" i="1"/>
  <c r="D92" i="1"/>
  <c r="B120" i="1"/>
  <c r="D99" i="1"/>
  <c r="D35" i="1"/>
  <c r="G93" i="1"/>
  <c r="C31" i="1"/>
  <c r="G80" i="1"/>
  <c r="B111" i="1"/>
  <c r="F82" i="1"/>
  <c r="B66" i="1"/>
  <c r="D45" i="1"/>
  <c r="E124" i="1"/>
  <c r="C99" i="1"/>
  <c r="B84" i="1"/>
  <c r="E52" i="1"/>
  <c r="C89" i="1"/>
  <c r="G32" i="1"/>
  <c r="F59" i="1"/>
  <c r="G75" i="1"/>
  <c r="B254" i="2"/>
  <c r="B163" i="2"/>
  <c r="C94" i="2"/>
  <c r="B178" i="2"/>
  <c r="C115" i="2"/>
  <c r="C3" i="2"/>
  <c r="B218" i="2"/>
  <c r="C121" i="2"/>
  <c r="B271" i="2"/>
  <c r="C253" i="2"/>
  <c r="C51" i="2"/>
  <c r="B49" i="2"/>
  <c r="F110" i="1"/>
  <c r="F40" i="1"/>
  <c r="D71" i="1"/>
  <c r="B48" i="1"/>
  <c r="D105" i="1"/>
  <c r="G31" i="1"/>
  <c r="F108" i="1"/>
  <c r="E48" i="1"/>
  <c r="C74" i="1"/>
  <c r="F34" i="1"/>
  <c r="C59" i="1"/>
  <c r="B55" i="1"/>
  <c r="E44" i="1"/>
  <c r="E32" i="1"/>
  <c r="D102" i="1"/>
  <c r="C53" i="2"/>
  <c r="B216" i="2"/>
  <c r="C265" i="2"/>
  <c r="C151" i="2"/>
  <c r="C187" i="2"/>
  <c r="B114" i="2"/>
  <c r="C272" i="2"/>
  <c r="B180" i="2"/>
  <c r="C134" i="2"/>
  <c r="B197" i="2"/>
  <c r="C160" i="2"/>
  <c r="B62" i="2"/>
  <c r="B274" i="2"/>
  <c r="B108" i="2"/>
  <c r="B52" i="2"/>
  <c r="C5" i="2"/>
  <c r="B185" i="2"/>
  <c r="C221" i="2"/>
  <c r="C241" i="2"/>
  <c r="B222" i="2"/>
  <c r="B170" i="2"/>
  <c r="C32" i="2"/>
  <c r="B14" i="2"/>
  <c r="B122" i="2"/>
  <c r="C236" i="2"/>
  <c r="B38" i="2"/>
  <c r="C194" i="2"/>
  <c r="B91" i="2"/>
  <c r="B35" i="2"/>
  <c r="B93" i="2"/>
  <c r="C168" i="2"/>
  <c r="C20" i="2"/>
  <c r="B259" i="2"/>
  <c r="C167" i="2"/>
  <c r="C147" i="2"/>
  <c r="C42" i="2"/>
  <c r="C206" i="2"/>
  <c r="B129" i="2"/>
  <c r="C216" i="2"/>
  <c r="B210" i="2"/>
  <c r="C34" i="2"/>
  <c r="C38" i="2"/>
  <c r="B256" i="2"/>
  <c r="C269" i="2"/>
  <c r="C16" i="2"/>
  <c r="G87" i="1"/>
  <c r="G113" i="1"/>
  <c r="B76" i="1"/>
  <c r="F114" i="1"/>
  <c r="D97" i="1"/>
  <c r="B40" i="1"/>
  <c r="E30" i="1"/>
  <c r="C47" i="1"/>
  <c r="D95" i="1"/>
  <c r="D66" i="1"/>
  <c r="F109" i="1"/>
  <c r="E116" i="1"/>
  <c r="C101" i="1"/>
  <c r="G50" i="1"/>
  <c r="F86" i="1"/>
  <c r="C88" i="1"/>
  <c r="B57" i="1"/>
  <c r="G40" i="1"/>
  <c r="D100" i="1"/>
  <c r="G112" i="1"/>
  <c r="B77" i="1"/>
  <c r="E117" i="1"/>
  <c r="F64" i="1"/>
  <c r="G48" i="1"/>
  <c r="G67" i="1"/>
  <c r="F76" i="1"/>
  <c r="F92" i="1"/>
  <c r="B95" i="1"/>
  <c r="E47" i="1"/>
  <c r="C105" i="1"/>
  <c r="G60" i="1"/>
  <c r="E106" i="1"/>
  <c r="G84" i="1"/>
  <c r="F83" i="1"/>
  <c r="F84" i="1"/>
  <c r="G119" i="1"/>
  <c r="F46" i="1"/>
  <c r="E114" i="1"/>
  <c r="G109" i="1"/>
  <c r="G104" i="1"/>
  <c r="G28" i="1"/>
  <c r="C83" i="1"/>
  <c r="B122" i="1"/>
  <c r="C57" i="1"/>
  <c r="E55" i="1"/>
  <c r="E63" i="1"/>
  <c r="B90" i="1"/>
  <c r="B44" i="1"/>
  <c r="F69" i="1"/>
  <c r="G61" i="1"/>
  <c r="B69" i="1"/>
  <c r="F36" i="1"/>
  <c r="F77" i="1"/>
  <c r="G65" i="1"/>
  <c r="C110" i="1"/>
  <c r="B71" i="2"/>
  <c r="C82" i="2"/>
  <c r="C74" i="2"/>
  <c r="B219" i="2"/>
  <c r="B167" i="2"/>
  <c r="C283" i="2"/>
  <c r="B234" i="2"/>
  <c r="B188" i="2"/>
  <c r="B67" i="2"/>
  <c r="C78" i="2"/>
  <c r="C55" i="2"/>
  <c r="G96" i="1"/>
  <c r="G114" i="1"/>
  <c r="G82" i="1"/>
  <c r="E56" i="1"/>
  <c r="B31" i="1"/>
  <c r="D33" i="1"/>
  <c r="D87" i="1"/>
  <c r="B29" i="1"/>
  <c r="C63" i="1"/>
  <c r="C24" i="1"/>
  <c r="D107" i="1"/>
  <c r="F120" i="1"/>
  <c r="E34" i="1"/>
  <c r="D30" i="1"/>
  <c r="D80" i="1"/>
  <c r="B107" i="2"/>
  <c r="B166" i="2"/>
  <c r="C257" i="2"/>
  <c r="B137" i="2"/>
  <c r="B89" i="2"/>
  <c r="C264" i="2"/>
  <c r="C26" i="2"/>
  <c r="C268" i="2"/>
  <c r="C186" i="2"/>
  <c r="C152" i="2"/>
  <c r="C155" i="2"/>
  <c r="C43" i="2"/>
  <c r="B12" i="2"/>
  <c r="C95" i="2"/>
  <c r="B281" i="2"/>
  <c r="B168" i="2"/>
  <c r="B159" i="2"/>
  <c r="B262" i="2"/>
  <c r="C169" i="2"/>
  <c r="B250" i="2"/>
  <c r="C110" i="2"/>
  <c r="B165" i="2"/>
  <c r="B257" i="2"/>
  <c r="B240" i="2"/>
  <c r="C193" i="2"/>
  <c r="B105" i="2"/>
  <c r="B100" i="2"/>
  <c r="C137" i="2"/>
  <c r="C262" i="2"/>
  <c r="B249" i="2"/>
  <c r="B84" i="2"/>
  <c r="C47" i="2"/>
  <c r="C182" i="2"/>
  <c r="C122" i="2"/>
  <c r="C88" i="2"/>
  <c r="B145" i="2"/>
  <c r="C56" i="2"/>
  <c r="C258" i="2"/>
  <c r="B211" i="2"/>
  <c r="B61" i="2"/>
  <c r="C30" i="2"/>
  <c r="C205" i="2"/>
  <c r="C65" i="2"/>
  <c r="C41" i="2"/>
  <c r="B73" i="2"/>
  <c r="E49" i="1"/>
  <c r="G120" i="1"/>
  <c r="B97" i="1"/>
  <c r="G39" i="1"/>
  <c r="F35" i="1"/>
  <c r="D84" i="1"/>
  <c r="E43" i="1"/>
  <c r="B99" i="1"/>
  <c r="E38" i="1"/>
  <c r="G101" i="1"/>
  <c r="G43" i="1"/>
  <c r="E41" i="1"/>
  <c r="D25" i="1"/>
  <c r="C48" i="1"/>
  <c r="E73" i="1"/>
  <c r="G29" i="1"/>
  <c r="E91" i="1"/>
  <c r="E66" i="1"/>
  <c r="B115" i="1"/>
  <c r="F99" i="1"/>
  <c r="G76" i="1"/>
  <c r="F71" i="1"/>
  <c r="G79" i="1"/>
  <c r="C38" i="1"/>
  <c r="G54" i="1"/>
  <c r="D49" i="1"/>
  <c r="E28" i="1"/>
  <c r="F72" i="1"/>
  <c r="C109" i="1"/>
  <c r="G106" i="1"/>
  <c r="B74" i="1"/>
  <c r="G98" i="1"/>
  <c r="B37" i="1"/>
  <c r="G118" i="1"/>
  <c r="C117" i="1"/>
  <c r="E121" i="1"/>
  <c r="B116" i="1"/>
  <c r="B64" i="1"/>
  <c r="C114" i="1"/>
  <c r="C41" i="1"/>
  <c r="D56" i="1"/>
  <c r="F85" i="1"/>
  <c r="F25" i="1"/>
  <c r="B109" i="1"/>
  <c r="F45" i="1"/>
  <c r="F87" i="1"/>
  <c r="F66" i="1"/>
  <c r="B56" i="1"/>
  <c r="F53" i="1"/>
  <c r="D90" i="1"/>
  <c r="E86" i="1"/>
  <c r="E101" i="1"/>
  <c r="D42" i="1"/>
  <c r="F115" i="1"/>
  <c r="C223" i="2"/>
  <c r="C39" i="2"/>
  <c r="B243" i="2"/>
  <c r="C243" i="2"/>
  <c r="C173" i="2"/>
  <c r="B213" i="2"/>
  <c r="B272" i="2"/>
  <c r="C148" i="2"/>
  <c r="B194" i="2"/>
  <c r="C217" i="2"/>
  <c r="B51" i="2"/>
  <c r="C45" i="2"/>
  <c r="C158" i="2"/>
  <c r="B202" i="2"/>
  <c r="C250" i="2"/>
  <c r="C142" i="2"/>
  <c r="C91" i="2"/>
  <c r="B273" i="2"/>
  <c r="C227" i="2"/>
  <c r="C8" i="2"/>
  <c r="C219" i="2"/>
  <c r="C54" i="1"/>
  <c r="G36" i="1"/>
  <c r="B113" i="1"/>
  <c r="C124" i="1"/>
  <c r="G35" i="1"/>
  <c r="G46" i="1"/>
  <c r="B68" i="1"/>
  <c r="E24" i="1"/>
  <c r="F106" i="1"/>
  <c r="G83" i="1"/>
  <c r="C64" i="1"/>
  <c r="G115" i="1"/>
  <c r="D51" i="1"/>
  <c r="D124" i="1"/>
  <c r="B235" i="2"/>
  <c r="B184" i="2"/>
  <c r="C37" i="2"/>
  <c r="C108" i="2"/>
  <c r="C209" i="2"/>
  <c r="B189" i="2"/>
  <c r="B186" i="2"/>
  <c r="B112" i="2"/>
  <c r="C225" i="2"/>
  <c r="B36" i="2"/>
  <c r="C213" i="2"/>
  <c r="B169" i="2"/>
  <c r="B11" i="2"/>
  <c r="B57" i="2"/>
  <c r="B231" i="2"/>
  <c r="C188" i="2"/>
  <c r="C85" i="2"/>
  <c r="C126" i="2"/>
  <c r="B34" i="2"/>
  <c r="C218" i="2"/>
  <c r="B128" i="2"/>
  <c r="B187" i="2"/>
  <c r="C98" i="1"/>
  <c r="B49" i="1"/>
  <c r="D86" i="1"/>
  <c r="C104" i="1"/>
  <c r="D28" i="1"/>
  <c r="E37" i="1"/>
  <c r="G97" i="1"/>
  <c r="E99" i="1"/>
  <c r="F105" i="1"/>
  <c r="C96" i="1"/>
  <c r="D44" i="1"/>
  <c r="B81" i="1"/>
  <c r="D93" i="1"/>
  <c r="B93" i="1"/>
  <c r="D85" i="1"/>
  <c r="E67" i="1"/>
  <c r="D29" i="1"/>
  <c r="F93" i="1"/>
  <c r="F78" i="1"/>
  <c r="B51" i="1"/>
  <c r="E105" i="1"/>
  <c r="B92" i="1"/>
  <c r="F100" i="1"/>
  <c r="B119" i="1"/>
  <c r="E50" i="1"/>
  <c r="C108" i="1"/>
  <c r="C112" i="1"/>
  <c r="E77" i="1"/>
  <c r="D24" i="1"/>
  <c r="B25" i="2"/>
  <c r="C89" i="2"/>
  <c r="B175" i="2"/>
  <c r="B144" i="2"/>
  <c r="B220" i="2"/>
  <c r="B121" i="2"/>
  <c r="B246" i="2"/>
  <c r="B131" i="2"/>
  <c r="B72" i="2"/>
  <c r="B275" i="2"/>
  <c r="B264" i="2"/>
  <c r="G94" i="1"/>
  <c r="E72" i="1"/>
  <c r="E107" i="1"/>
  <c r="B65" i="1"/>
  <c r="B91" i="1"/>
  <c r="F28" i="1"/>
  <c r="C106" i="1"/>
  <c r="E110" i="1"/>
  <c r="B82" i="1"/>
  <c r="B98" i="1"/>
  <c r="C78" i="1"/>
  <c r="E31" i="1"/>
  <c r="B106" i="1"/>
  <c r="G89" i="1"/>
  <c r="F57" i="1"/>
  <c r="C97" i="1"/>
  <c r="C254" i="2"/>
  <c r="B269" i="2"/>
  <c r="C98" i="2"/>
  <c r="B53" i="2"/>
  <c r="C125" i="2"/>
  <c r="C119" i="2"/>
  <c r="C90" i="2"/>
  <c r="B133" i="2"/>
  <c r="C106" i="2"/>
  <c r="C234" i="2"/>
  <c r="C198" i="2"/>
  <c r="B123" i="2"/>
  <c r="D38" i="1"/>
  <c r="B105" i="1"/>
  <c r="E78" i="1"/>
  <c r="D79" i="1"/>
  <c r="D57" i="1"/>
  <c r="G88" i="1"/>
  <c r="E75" i="1"/>
  <c r="B103" i="1"/>
  <c r="D26" i="1"/>
  <c r="G24" i="1"/>
  <c r="E42" i="1"/>
  <c r="G64" i="1"/>
  <c r="D47" i="1"/>
  <c r="C121" i="1"/>
  <c r="G92" i="1"/>
  <c r="D50" i="1"/>
  <c r="B258" i="2"/>
  <c r="C184" i="2"/>
  <c r="B212" i="2"/>
  <c r="B277" i="2"/>
  <c r="B208" i="2"/>
  <c r="C2" i="2"/>
  <c r="B149" i="2"/>
  <c r="B21" i="2"/>
  <c r="B118" i="2"/>
  <c r="B141" i="2"/>
  <c r="B155" i="2"/>
  <c r="B10" i="2"/>
  <c r="B97" i="2"/>
  <c r="C101" i="2"/>
  <c r="C7" i="2"/>
  <c r="B276" i="2"/>
  <c r="B225" i="2"/>
  <c r="B120" i="2"/>
  <c r="B261" i="2"/>
  <c r="B29" i="2"/>
  <c r="B230" i="2"/>
  <c r="B8" i="2"/>
  <c r="B71" i="1"/>
  <c r="E39" i="1"/>
  <c r="D76" i="1"/>
  <c r="C103" i="1"/>
  <c r="D89" i="1"/>
  <c r="G34" i="1"/>
  <c r="C95" i="1"/>
  <c r="B101" i="1"/>
  <c r="B58" i="1"/>
  <c r="D41" i="1"/>
  <c r="C102" i="1"/>
  <c r="F63" i="1"/>
  <c r="B24" i="1"/>
  <c r="F32" i="1"/>
  <c r="B114" i="1"/>
  <c r="E62" i="1"/>
  <c r="E29" i="1"/>
  <c r="E53" i="1"/>
  <c r="D94" i="1"/>
  <c r="D34" i="1"/>
  <c r="D43" i="1"/>
  <c r="B61" i="1"/>
  <c r="G70" i="1"/>
  <c r="B38" i="1"/>
  <c r="G117" i="1"/>
  <c r="G41" i="1"/>
  <c r="G99" i="1"/>
  <c r="C77" i="1"/>
  <c r="G53" i="1"/>
  <c r="B146" i="2"/>
  <c r="B263" i="2"/>
  <c r="C109" i="2"/>
  <c r="B280" i="2"/>
  <c r="C102" i="2"/>
  <c r="C131" i="2"/>
  <c r="B176" i="2"/>
  <c r="C242" i="2"/>
  <c r="B59" i="2"/>
  <c r="B142" i="2"/>
  <c r="C67" i="2"/>
  <c r="F26" i="1"/>
  <c r="G58" i="1"/>
  <c r="E84" i="1"/>
  <c r="E71" i="1"/>
  <c r="E65" i="1"/>
  <c r="E85" i="1"/>
  <c r="F38" i="1"/>
  <c r="G38" i="1"/>
  <c r="B60" i="1"/>
  <c r="E92" i="1"/>
  <c r="E83" i="1"/>
  <c r="F31" i="1"/>
  <c r="D36" i="1"/>
  <c r="C104" i="2"/>
  <c r="B158" i="2"/>
  <c r="B26" i="2"/>
  <c r="B205" i="2"/>
  <c r="B103" i="2"/>
  <c r="B60" i="2"/>
  <c r="C284" i="2"/>
  <c r="B48" i="2"/>
  <c r="B119" i="2"/>
  <c r="B172" i="2"/>
  <c r="B147" i="2"/>
  <c r="C84" i="1"/>
  <c r="C56" i="1"/>
  <c r="F43" i="1"/>
  <c r="F121" i="1"/>
  <c r="E113" i="1"/>
  <c r="B43" i="1"/>
  <c r="E54" i="1"/>
  <c r="D88" i="1"/>
  <c r="B47" i="1"/>
  <c r="B33" i="1"/>
  <c r="B118" i="1"/>
  <c r="D48" i="1"/>
  <c r="B50" i="1"/>
  <c r="B87" i="1"/>
  <c r="F104" i="1"/>
  <c r="G44" i="1"/>
  <c r="C211" i="2"/>
  <c r="B58" i="2"/>
  <c r="B224" i="2"/>
  <c r="B282" i="2"/>
  <c r="B85" i="2"/>
  <c r="C86" i="2"/>
  <c r="B206" i="2"/>
  <c r="C25" i="2"/>
  <c r="C190" i="2"/>
  <c r="B96" i="2"/>
  <c r="B251" i="2"/>
  <c r="B66" i="2"/>
  <c r="B125" i="2"/>
  <c r="C18" i="2"/>
  <c r="B7" i="2"/>
  <c r="C4" i="2"/>
  <c r="B236" i="2"/>
  <c r="C176" i="2"/>
  <c r="C57" i="2"/>
  <c r="C68" i="2"/>
  <c r="C202" i="2"/>
  <c r="B217" i="2"/>
  <c r="G59" i="1"/>
  <c r="G57" i="1"/>
  <c r="D108" i="1"/>
  <c r="G111" i="1"/>
  <c r="G69" i="1"/>
  <c r="D46" i="1"/>
  <c r="D119" i="1"/>
  <c r="C76" i="1"/>
  <c r="G47" i="1"/>
  <c r="E103" i="1"/>
  <c r="D83" i="1"/>
  <c r="B108" i="1"/>
  <c r="D117" i="1"/>
  <c r="G73" i="1"/>
  <c r="F96" i="1"/>
  <c r="F37" i="1"/>
  <c r="D70" i="1"/>
  <c r="D61" i="1"/>
  <c r="B53" i="1"/>
  <c r="C53" i="1"/>
  <c r="D82" i="1"/>
  <c r="B107" i="1"/>
  <c r="B96" i="1"/>
  <c r="G116" i="1"/>
  <c r="E122" i="1"/>
  <c r="E118" i="1"/>
  <c r="D113" i="1"/>
  <c r="C119" i="1"/>
  <c r="E120" i="1"/>
  <c r="B79" i="2"/>
  <c r="C271" i="2"/>
  <c r="B245" i="2"/>
  <c r="C130" i="2"/>
  <c r="C266" i="2"/>
  <c r="C11" i="2"/>
  <c r="C196" i="2"/>
  <c r="B37" i="2"/>
  <c r="C229" i="2"/>
  <c r="B87" i="2"/>
  <c r="B244" i="2"/>
  <c r="B153" i="2"/>
  <c r="B102" i="2"/>
  <c r="B113" i="2"/>
  <c r="B115" i="2"/>
  <c r="C273" i="2"/>
  <c r="B267" i="2"/>
  <c r="C40" i="2"/>
  <c r="B173" i="2"/>
  <c r="B127" i="2"/>
  <c r="B204" i="2"/>
  <c r="B135" i="2"/>
  <c r="G91" i="1"/>
  <c r="D32" i="1"/>
  <c r="E108" i="1"/>
  <c r="G37" i="1"/>
  <c r="C44" i="1"/>
  <c r="G86" i="1"/>
  <c r="F44" i="1"/>
  <c r="B104" i="1"/>
  <c r="C50" i="1"/>
  <c r="D111" i="1"/>
  <c r="B52" i="1"/>
  <c r="E27" i="1"/>
  <c r="C116" i="1"/>
  <c r="F119" i="1"/>
  <c r="F62" i="1"/>
  <c r="D122" i="1"/>
  <c r="G90" i="1"/>
  <c r="C27" i="1"/>
  <c r="F94" i="1"/>
  <c r="F58" i="1"/>
  <c r="C34" i="1"/>
  <c r="C73" i="1"/>
  <c r="B123" i="1"/>
  <c r="B89" i="1"/>
  <c r="D118" i="1"/>
  <c r="C66" i="1"/>
  <c r="D81" i="1"/>
  <c r="C115" i="1"/>
  <c r="G72" i="1"/>
  <c r="C100" i="2"/>
  <c r="C239" i="2"/>
  <c r="B116" i="2"/>
  <c r="C135" i="2"/>
  <c r="B201" i="2"/>
  <c r="C278" i="2"/>
  <c r="C64" i="2"/>
  <c r="C87" i="2"/>
  <c r="C17" i="2"/>
  <c r="C244" i="2"/>
  <c r="C138" i="2"/>
  <c r="B265" i="2"/>
  <c r="B40" i="2"/>
  <c r="B227" i="2"/>
  <c r="C153" i="2"/>
  <c r="B63" i="2"/>
  <c r="C48" i="2"/>
  <c r="C199" i="2"/>
  <c r="C99" i="2"/>
  <c r="B95" i="2"/>
  <c r="B278" i="2"/>
  <c r="B152" i="2"/>
  <c r="D74" i="1"/>
  <c r="C51" i="1"/>
  <c r="G45" i="1"/>
  <c r="B181" i="2"/>
  <c r="C276" i="2"/>
  <c r="B279" i="2"/>
  <c r="C49" i="1"/>
  <c r="C29" i="1"/>
  <c r="F50" i="1"/>
  <c r="B72" i="1"/>
  <c r="D116" i="1"/>
  <c r="D109" i="1"/>
  <c r="E64" i="1"/>
  <c r="G124" i="1"/>
  <c r="C60" i="1"/>
  <c r="E79" i="1"/>
  <c r="B68" i="2"/>
  <c r="F98" i="1"/>
  <c r="B79" i="1"/>
  <c r="D121" i="1"/>
  <c r="C156" i="2"/>
  <c r="G108" i="1"/>
  <c r="F56" i="1"/>
  <c r="C231" i="2"/>
  <c r="E51" i="1"/>
  <c r="D52" i="1"/>
  <c r="C203" i="2"/>
  <c r="C70" i="1"/>
  <c r="D112" i="1"/>
  <c r="C235" i="2"/>
  <c r="B191" i="2"/>
  <c r="C185" i="2"/>
  <c r="G25" i="1"/>
  <c r="F122" i="1"/>
  <c r="B28" i="1"/>
  <c r="E58" i="1"/>
  <c r="B75" i="1"/>
  <c r="B30" i="1"/>
  <c r="C68" i="1"/>
  <c r="C178" i="2"/>
  <c r="F88" i="1"/>
  <c r="D40" i="1"/>
  <c r="B63" i="1"/>
  <c r="C146" i="2"/>
  <c r="F41" i="1"/>
  <c r="B41" i="1"/>
  <c r="B283" i="2"/>
  <c r="B85" i="1"/>
  <c r="C28" i="1"/>
  <c r="C162" i="2"/>
  <c r="F101" i="1"/>
  <c r="C40" i="1"/>
  <c r="C220" i="2"/>
  <c r="G66" i="1"/>
  <c r="C32" i="1"/>
  <c r="B111" i="2"/>
  <c r="C177" i="2"/>
  <c r="E60" i="1"/>
  <c r="E74" i="1"/>
  <c r="B32" i="1"/>
  <c r="E115" i="1"/>
  <c r="D67" i="1"/>
  <c r="C222" i="2"/>
  <c r="D64" i="1"/>
  <c r="B139" i="2"/>
  <c r="C93" i="1"/>
  <c r="B124" i="1"/>
  <c r="C116" i="2"/>
  <c r="F116" i="1"/>
  <c r="F95" i="1"/>
  <c r="C129" i="2"/>
  <c r="F42" i="1"/>
  <c r="D72" i="1"/>
  <c r="B39" i="2"/>
  <c r="D110" i="1"/>
  <c r="B86" i="1"/>
  <c r="O12" i="2"/>
  <c r="L12" i="2"/>
  <c r="I15" i="2"/>
  <c r="O19" i="2"/>
  <c r="C3" i="1" l="1"/>
  <c r="Q2" i="1"/>
  <c r="Q8" i="1" s="1"/>
  <c r="P2" i="1"/>
  <c r="P3" i="1" s="1"/>
  <c r="K4" i="1"/>
  <c r="L4" i="1" s="1"/>
  <c r="F4" i="1"/>
  <c r="C6" i="1"/>
  <c r="F6" i="1"/>
  <c r="L5" i="1"/>
  <c r="N6" i="1"/>
  <c r="M8" i="1"/>
  <c r="E6" i="1"/>
  <c r="N5" i="1"/>
  <c r="D3" i="1"/>
  <c r="C5" i="1"/>
  <c r="C8" i="1"/>
  <c r="O5" i="1"/>
  <c r="E3" i="1"/>
  <c r="N8" i="1"/>
  <c r="N7" i="1"/>
  <c r="H4" i="1"/>
  <c r="O3" i="1"/>
  <c r="L7" i="1"/>
  <c r="N3" i="1"/>
  <c r="D6" i="1"/>
  <c r="D8" i="1"/>
  <c r="O6" i="1"/>
  <c r="I24" i="1"/>
  <c r="L24" i="1"/>
  <c r="M24" i="1"/>
  <c r="K24" i="1"/>
  <c r="J24" i="1"/>
  <c r="L29" i="1"/>
  <c r="L31" i="1"/>
  <c r="J30" i="1"/>
  <c r="L27" i="1"/>
  <c r="J26" i="1"/>
  <c r="M32" i="1"/>
  <c r="K31" i="1"/>
  <c r="I30" i="1"/>
  <c r="M28" i="1"/>
  <c r="K27" i="1"/>
  <c r="I26" i="1"/>
  <c r="L32" i="1"/>
  <c r="J31" i="1"/>
  <c r="L28" i="1"/>
  <c r="J27" i="1"/>
  <c r="K32" i="1"/>
  <c r="I31" i="1"/>
  <c r="M29" i="1"/>
  <c r="K28" i="1"/>
  <c r="I27" i="1"/>
  <c r="M25" i="1"/>
  <c r="J32" i="1"/>
  <c r="J28" i="1"/>
  <c r="L25" i="1"/>
  <c r="I32" i="1"/>
  <c r="P32" i="1" s="1"/>
  <c r="M30" i="1"/>
  <c r="K29" i="1"/>
  <c r="I28" i="1"/>
  <c r="M26" i="1"/>
  <c r="K25" i="1"/>
  <c r="L30" i="1"/>
  <c r="J29" i="1"/>
  <c r="L26" i="1"/>
  <c r="J25" i="1"/>
  <c r="M31" i="1"/>
  <c r="K30" i="1"/>
  <c r="I29" i="1"/>
  <c r="P29" i="1" s="1"/>
  <c r="M27" i="1"/>
  <c r="K26" i="1"/>
  <c r="I25" i="1"/>
  <c r="L124" i="1"/>
  <c r="J115" i="1"/>
  <c r="L104" i="1"/>
  <c r="I90" i="1"/>
  <c r="J83" i="1"/>
  <c r="L75" i="1"/>
  <c r="L72" i="1"/>
  <c r="M68" i="1"/>
  <c r="I58" i="1"/>
  <c r="J54" i="1"/>
  <c r="J51" i="1"/>
  <c r="K47" i="1"/>
  <c r="L43" i="1"/>
  <c r="K124" i="1"/>
  <c r="M121" i="1"/>
  <c r="J111" i="1"/>
  <c r="K107" i="1"/>
  <c r="L103" i="1"/>
  <c r="L100" i="1"/>
  <c r="M96" i="1"/>
  <c r="I86" i="1"/>
  <c r="J82" i="1"/>
  <c r="J79" i="1"/>
  <c r="K75" i="1"/>
  <c r="L71" i="1"/>
  <c r="L68" i="1"/>
  <c r="M64" i="1"/>
  <c r="I54" i="1"/>
  <c r="J50" i="1"/>
  <c r="J47" i="1"/>
  <c r="K43" i="1"/>
  <c r="L39" i="1"/>
  <c r="L36" i="1"/>
  <c r="L123" i="1"/>
  <c r="I114" i="1"/>
  <c r="J110" i="1"/>
  <c r="J107" i="1"/>
  <c r="K103" i="1"/>
  <c r="L99" i="1"/>
  <c r="L96" i="1"/>
  <c r="M92" i="1"/>
  <c r="I82" i="1"/>
  <c r="J78" i="1"/>
  <c r="J75" i="1"/>
  <c r="K71" i="1"/>
  <c r="L67" i="1"/>
  <c r="L64" i="1"/>
  <c r="M60" i="1"/>
  <c r="I50" i="1"/>
  <c r="J46" i="1"/>
  <c r="J43" i="1"/>
  <c r="K39" i="1"/>
  <c r="L35" i="1"/>
  <c r="K123" i="1"/>
  <c r="M120" i="1"/>
  <c r="I110" i="1"/>
  <c r="J106" i="1"/>
  <c r="J103" i="1"/>
  <c r="K99" i="1"/>
  <c r="L95" i="1"/>
  <c r="L92" i="1"/>
  <c r="M88" i="1"/>
  <c r="I78" i="1"/>
  <c r="J74" i="1"/>
  <c r="J71" i="1"/>
  <c r="K67" i="1"/>
  <c r="L63" i="1"/>
  <c r="L60" i="1"/>
  <c r="M56" i="1"/>
  <c r="I46" i="1"/>
  <c r="J42" i="1"/>
  <c r="J39" i="1"/>
  <c r="K35" i="1"/>
  <c r="J123" i="1"/>
  <c r="L120" i="1"/>
  <c r="M116" i="1"/>
  <c r="I106" i="1"/>
  <c r="J102" i="1"/>
  <c r="J99" i="1"/>
  <c r="K95" i="1"/>
  <c r="L91" i="1"/>
  <c r="L88" i="1"/>
  <c r="M84" i="1"/>
  <c r="I74" i="1"/>
  <c r="J70" i="1"/>
  <c r="J67" i="1"/>
  <c r="K63" i="1"/>
  <c r="L59" i="1"/>
  <c r="L56" i="1"/>
  <c r="M52" i="1"/>
  <c r="I42" i="1"/>
  <c r="J38" i="1"/>
  <c r="J35" i="1"/>
  <c r="I123" i="1"/>
  <c r="L119" i="1"/>
  <c r="L116" i="1"/>
  <c r="M112" i="1"/>
  <c r="I102" i="1"/>
  <c r="J98" i="1"/>
  <c r="J95" i="1"/>
  <c r="K91" i="1"/>
  <c r="L87" i="1"/>
  <c r="L84" i="1"/>
  <c r="M80" i="1"/>
  <c r="I70" i="1"/>
  <c r="J66" i="1"/>
  <c r="J63" i="1"/>
  <c r="K59" i="1"/>
  <c r="L55" i="1"/>
  <c r="L52" i="1"/>
  <c r="M48" i="1"/>
  <c r="I38" i="1"/>
  <c r="J34" i="1"/>
  <c r="J118" i="1"/>
  <c r="L107" i="1"/>
  <c r="K79" i="1"/>
  <c r="L40" i="1"/>
  <c r="J114" i="1"/>
  <c r="J122" i="1"/>
  <c r="K119" i="1"/>
  <c r="L115" i="1"/>
  <c r="L112" i="1"/>
  <c r="M108" i="1"/>
  <c r="I98" i="1"/>
  <c r="J94" i="1"/>
  <c r="J91" i="1"/>
  <c r="K87" i="1"/>
  <c r="L83" i="1"/>
  <c r="L80" i="1"/>
  <c r="M76" i="1"/>
  <c r="I66" i="1"/>
  <c r="J62" i="1"/>
  <c r="J59" i="1"/>
  <c r="K55" i="1"/>
  <c r="L51" i="1"/>
  <c r="L48" i="1"/>
  <c r="M44" i="1"/>
  <c r="I34" i="1"/>
  <c r="K111" i="1"/>
  <c r="M100" i="1"/>
  <c r="J86" i="1"/>
  <c r="M36" i="1"/>
  <c r="I118" i="1"/>
  <c r="M124" i="1"/>
  <c r="I122" i="1"/>
  <c r="J119" i="1"/>
  <c r="K115" i="1"/>
  <c r="L111" i="1"/>
  <c r="L108" i="1"/>
  <c r="M104" i="1"/>
  <c r="I94" i="1"/>
  <c r="J90" i="1"/>
  <c r="J87" i="1"/>
  <c r="K83" i="1"/>
  <c r="L79" i="1"/>
  <c r="L76" i="1"/>
  <c r="M72" i="1"/>
  <c r="I62" i="1"/>
  <c r="J58" i="1"/>
  <c r="J55" i="1"/>
  <c r="K51" i="1"/>
  <c r="L47" i="1"/>
  <c r="L44" i="1"/>
  <c r="M40" i="1"/>
  <c r="M117" i="1"/>
  <c r="I115" i="1"/>
  <c r="I111" i="1"/>
  <c r="I107" i="1"/>
  <c r="I103" i="1"/>
  <c r="P103" i="1" s="1"/>
  <c r="I99" i="1"/>
  <c r="I95" i="1"/>
  <c r="I91" i="1"/>
  <c r="I87" i="1"/>
  <c r="P87" i="1" s="1"/>
  <c r="M81" i="1"/>
  <c r="M77" i="1"/>
  <c r="I75" i="1"/>
  <c r="K72" i="1"/>
  <c r="M69" i="1"/>
  <c r="M65" i="1"/>
  <c r="I63" i="1"/>
  <c r="K60" i="1"/>
  <c r="I59" i="1"/>
  <c r="K56" i="1"/>
  <c r="M53" i="1"/>
  <c r="K52" i="1"/>
  <c r="I51" i="1"/>
  <c r="M49" i="1"/>
  <c r="K48" i="1"/>
  <c r="I47" i="1"/>
  <c r="P47" i="1" s="1"/>
  <c r="M45" i="1"/>
  <c r="K44" i="1"/>
  <c r="I43" i="1"/>
  <c r="M41" i="1"/>
  <c r="K40" i="1"/>
  <c r="I39" i="1"/>
  <c r="M37" i="1"/>
  <c r="M33" i="1"/>
  <c r="J124" i="1"/>
  <c r="L121" i="1"/>
  <c r="L117" i="1"/>
  <c r="L113" i="1"/>
  <c r="L109" i="1"/>
  <c r="L105" i="1"/>
  <c r="L101" i="1"/>
  <c r="J96" i="1"/>
  <c r="J92" i="1"/>
  <c r="L81" i="1"/>
  <c r="J76" i="1"/>
  <c r="J72" i="1"/>
  <c r="J68" i="1"/>
  <c r="J64" i="1"/>
  <c r="J60" i="1"/>
  <c r="J56" i="1"/>
  <c r="L53" i="1"/>
  <c r="L49" i="1"/>
  <c r="J44" i="1"/>
  <c r="L41" i="1"/>
  <c r="J40" i="1"/>
  <c r="L37" i="1"/>
  <c r="L33" i="1"/>
  <c r="I124" i="1"/>
  <c r="P124" i="1" s="1"/>
  <c r="M122" i="1"/>
  <c r="K121" i="1"/>
  <c r="I120" i="1"/>
  <c r="M118" i="1"/>
  <c r="K117" i="1"/>
  <c r="I116" i="1"/>
  <c r="M114" i="1"/>
  <c r="K113" i="1"/>
  <c r="I112" i="1"/>
  <c r="M110" i="1"/>
  <c r="K109" i="1"/>
  <c r="I108" i="1"/>
  <c r="M106" i="1"/>
  <c r="K105" i="1"/>
  <c r="I104" i="1"/>
  <c r="M102" i="1"/>
  <c r="K101" i="1"/>
  <c r="I100" i="1"/>
  <c r="M98" i="1"/>
  <c r="K97" i="1"/>
  <c r="I96" i="1"/>
  <c r="M94" i="1"/>
  <c r="K93" i="1"/>
  <c r="I92" i="1"/>
  <c r="P92" i="1" s="1"/>
  <c r="M90" i="1"/>
  <c r="K89" i="1"/>
  <c r="I88" i="1"/>
  <c r="M86" i="1"/>
  <c r="K85" i="1"/>
  <c r="I84" i="1"/>
  <c r="M82" i="1"/>
  <c r="K81" i="1"/>
  <c r="I80" i="1"/>
  <c r="M78" i="1"/>
  <c r="K77" i="1"/>
  <c r="I76" i="1"/>
  <c r="M74" i="1"/>
  <c r="K73" i="1"/>
  <c r="I72" i="1"/>
  <c r="M70" i="1"/>
  <c r="K69" i="1"/>
  <c r="I68" i="1"/>
  <c r="M66" i="1"/>
  <c r="K65" i="1"/>
  <c r="I64" i="1"/>
  <c r="M62" i="1"/>
  <c r="K61" i="1"/>
  <c r="I60" i="1"/>
  <c r="P60" i="1" s="1"/>
  <c r="M58" i="1"/>
  <c r="K57" i="1"/>
  <c r="I56" i="1"/>
  <c r="M54" i="1"/>
  <c r="K53" i="1"/>
  <c r="I52" i="1"/>
  <c r="M50" i="1"/>
  <c r="K49" i="1"/>
  <c r="I48" i="1"/>
  <c r="M46" i="1"/>
  <c r="K45" i="1"/>
  <c r="I44" i="1"/>
  <c r="P44" i="1" s="1"/>
  <c r="M42" i="1"/>
  <c r="K41" i="1"/>
  <c r="I40" i="1"/>
  <c r="M38" i="1"/>
  <c r="K37" i="1"/>
  <c r="I36" i="1"/>
  <c r="M34" i="1"/>
  <c r="K33" i="1"/>
  <c r="K120" i="1"/>
  <c r="K116" i="1"/>
  <c r="K112" i="1"/>
  <c r="K108" i="1"/>
  <c r="M105" i="1"/>
  <c r="M101" i="1"/>
  <c r="M97" i="1"/>
  <c r="M93" i="1"/>
  <c r="M89" i="1"/>
  <c r="K84" i="1"/>
  <c r="I79" i="1"/>
  <c r="M73" i="1"/>
  <c r="K68" i="1"/>
  <c r="I55" i="1"/>
  <c r="I35" i="1"/>
  <c r="J116" i="1"/>
  <c r="J112" i="1"/>
  <c r="J108" i="1"/>
  <c r="J104" i="1"/>
  <c r="J100" i="1"/>
  <c r="J88" i="1"/>
  <c r="J84" i="1"/>
  <c r="J80" i="1"/>
  <c r="L77" i="1"/>
  <c r="L73" i="1"/>
  <c r="J52" i="1"/>
  <c r="J36" i="1"/>
  <c r="L122" i="1"/>
  <c r="L118" i="1"/>
  <c r="J117" i="1"/>
  <c r="L114" i="1"/>
  <c r="J113" i="1"/>
  <c r="L110" i="1"/>
  <c r="J109" i="1"/>
  <c r="L106" i="1"/>
  <c r="J105" i="1"/>
  <c r="L102" i="1"/>
  <c r="J101" i="1"/>
  <c r="L98" i="1"/>
  <c r="J97" i="1"/>
  <c r="L94" i="1"/>
  <c r="J93" i="1"/>
  <c r="L90" i="1"/>
  <c r="J89" i="1"/>
  <c r="L86" i="1"/>
  <c r="J85" i="1"/>
  <c r="L82" i="1"/>
  <c r="J81" i="1"/>
  <c r="L78" i="1"/>
  <c r="J77" i="1"/>
  <c r="L74" i="1"/>
  <c r="J73" i="1"/>
  <c r="L70" i="1"/>
  <c r="J69" i="1"/>
  <c r="L66" i="1"/>
  <c r="J65" i="1"/>
  <c r="L62" i="1"/>
  <c r="J61" i="1"/>
  <c r="L58" i="1"/>
  <c r="J57" i="1"/>
  <c r="L54" i="1"/>
  <c r="J53" i="1"/>
  <c r="L50" i="1"/>
  <c r="J49" i="1"/>
  <c r="L46" i="1"/>
  <c r="J45" i="1"/>
  <c r="L42" i="1"/>
  <c r="J41" i="1"/>
  <c r="L38" i="1"/>
  <c r="J37" i="1"/>
  <c r="L34" i="1"/>
  <c r="J33" i="1"/>
  <c r="I119" i="1"/>
  <c r="M113" i="1"/>
  <c r="M109" i="1"/>
  <c r="K104" i="1"/>
  <c r="K100" i="1"/>
  <c r="K96" i="1"/>
  <c r="K92" i="1"/>
  <c r="K88" i="1"/>
  <c r="M85" i="1"/>
  <c r="I83" i="1"/>
  <c r="K80" i="1"/>
  <c r="K76" i="1"/>
  <c r="I71" i="1"/>
  <c r="I67" i="1"/>
  <c r="K64" i="1"/>
  <c r="M61" i="1"/>
  <c r="M57" i="1"/>
  <c r="K36" i="1"/>
  <c r="J120" i="1"/>
  <c r="L97" i="1"/>
  <c r="L93" i="1"/>
  <c r="L89" i="1"/>
  <c r="L85" i="1"/>
  <c r="L69" i="1"/>
  <c r="L65" i="1"/>
  <c r="L61" i="1"/>
  <c r="L57" i="1"/>
  <c r="J48" i="1"/>
  <c r="L45" i="1"/>
  <c r="J121" i="1"/>
  <c r="M123" i="1"/>
  <c r="K122" i="1"/>
  <c r="I121" i="1"/>
  <c r="M119" i="1"/>
  <c r="K118" i="1"/>
  <c r="I117" i="1"/>
  <c r="P117" i="1" s="1"/>
  <c r="M115" i="1"/>
  <c r="K114" i="1"/>
  <c r="I113" i="1"/>
  <c r="M111" i="1"/>
  <c r="K110" i="1"/>
  <c r="I109" i="1"/>
  <c r="M107" i="1"/>
  <c r="K106" i="1"/>
  <c r="I105" i="1"/>
  <c r="M103" i="1"/>
  <c r="K102" i="1"/>
  <c r="I101" i="1"/>
  <c r="P101" i="1" s="1"/>
  <c r="M99" i="1"/>
  <c r="K98" i="1"/>
  <c r="I97" i="1"/>
  <c r="M95" i="1"/>
  <c r="K94" i="1"/>
  <c r="I93" i="1"/>
  <c r="M91" i="1"/>
  <c r="K90" i="1"/>
  <c r="I89" i="1"/>
  <c r="M87" i="1"/>
  <c r="K86" i="1"/>
  <c r="I85" i="1"/>
  <c r="P85" i="1" s="1"/>
  <c r="M83" i="1"/>
  <c r="K82" i="1"/>
  <c r="I81" i="1"/>
  <c r="M79" i="1"/>
  <c r="K78" i="1"/>
  <c r="I77" i="1"/>
  <c r="M75" i="1"/>
  <c r="K74" i="1"/>
  <c r="I73" i="1"/>
  <c r="M71" i="1"/>
  <c r="K70" i="1"/>
  <c r="I69" i="1"/>
  <c r="P69" i="1" s="1"/>
  <c r="M67" i="1"/>
  <c r="K66" i="1"/>
  <c r="I65" i="1"/>
  <c r="M63" i="1"/>
  <c r="K62" i="1"/>
  <c r="I61" i="1"/>
  <c r="M59" i="1"/>
  <c r="K58" i="1"/>
  <c r="I57" i="1"/>
  <c r="M55" i="1"/>
  <c r="K54" i="1"/>
  <c r="I53" i="1"/>
  <c r="P53" i="1" s="1"/>
  <c r="M51" i="1"/>
  <c r="K50" i="1"/>
  <c r="I49" i="1"/>
  <c r="M47" i="1"/>
  <c r="K46" i="1"/>
  <c r="I45" i="1"/>
  <c r="M43" i="1"/>
  <c r="K42" i="1"/>
  <c r="I41" i="1"/>
  <c r="M39" i="1"/>
  <c r="K38" i="1"/>
  <c r="I37" i="1"/>
  <c r="P37" i="1" s="1"/>
  <c r="M35" i="1"/>
  <c r="K34" i="1"/>
  <c r="I33" i="1"/>
  <c r="G6" i="1"/>
  <c r="G8" i="1"/>
  <c r="G5" i="1"/>
  <c r="M7" i="1"/>
  <c r="M6" i="1"/>
  <c r="M3" i="1"/>
  <c r="F8" i="1"/>
  <c r="F7" i="1"/>
  <c r="F5" i="1"/>
  <c r="E5" i="1"/>
  <c r="E4" i="1"/>
  <c r="E7" i="1"/>
  <c r="H8" i="1"/>
  <c r="G4" i="1"/>
  <c r="G7" i="1"/>
  <c r="M5" i="1"/>
  <c r="C7" i="1"/>
  <c r="L8" i="1"/>
  <c r="G3" i="1"/>
  <c r="D4" i="1"/>
  <c r="D7" i="1"/>
  <c r="C4" i="1"/>
  <c r="O7" i="1"/>
  <c r="L6" i="1"/>
  <c r="O8" i="1"/>
  <c r="L3" i="1"/>
  <c r="D5" i="1"/>
  <c r="E8" i="1"/>
  <c r="H7" i="1"/>
  <c r="H6" i="1"/>
  <c r="H3" i="1"/>
  <c r="H5" i="1"/>
  <c r="N24" i="1"/>
  <c r="N32" i="1"/>
  <c r="N28" i="1"/>
  <c r="N29" i="1"/>
  <c r="N25" i="1"/>
  <c r="N30" i="1"/>
  <c r="N26" i="1"/>
  <c r="N31" i="1"/>
  <c r="N27" i="1"/>
  <c r="N96" i="1"/>
  <c r="N64" i="1"/>
  <c r="N61" i="1"/>
  <c r="N92" i="1"/>
  <c r="N89" i="1"/>
  <c r="N60" i="1"/>
  <c r="N57" i="1"/>
  <c r="N120" i="1"/>
  <c r="N117" i="1"/>
  <c r="N88" i="1"/>
  <c r="N85" i="1"/>
  <c r="N56" i="1"/>
  <c r="N53" i="1"/>
  <c r="N116" i="1"/>
  <c r="N113" i="1"/>
  <c r="N84" i="1"/>
  <c r="N81" i="1"/>
  <c r="N52" i="1"/>
  <c r="N49" i="1"/>
  <c r="N112" i="1"/>
  <c r="N109" i="1"/>
  <c r="N80" i="1"/>
  <c r="N77" i="1"/>
  <c r="N48" i="1"/>
  <c r="N45" i="1"/>
  <c r="N108" i="1"/>
  <c r="N105" i="1"/>
  <c r="N76" i="1"/>
  <c r="N73" i="1"/>
  <c r="N44" i="1"/>
  <c r="N41" i="1"/>
  <c r="N93" i="1"/>
  <c r="N124" i="1"/>
  <c r="N104" i="1"/>
  <c r="N101" i="1"/>
  <c r="N72" i="1"/>
  <c r="N69" i="1"/>
  <c r="N40" i="1"/>
  <c r="N37" i="1"/>
  <c r="N121" i="1"/>
  <c r="N100" i="1"/>
  <c r="N97" i="1"/>
  <c r="N68" i="1"/>
  <c r="N65" i="1"/>
  <c r="N36" i="1"/>
  <c r="N33" i="1"/>
  <c r="N86" i="1"/>
  <c r="N46" i="1"/>
  <c r="N122" i="1"/>
  <c r="N118" i="1"/>
  <c r="N98" i="1"/>
  <c r="N94" i="1"/>
  <c r="N90" i="1"/>
  <c r="N70" i="1"/>
  <c r="N66" i="1"/>
  <c r="N62" i="1"/>
  <c r="N58" i="1"/>
  <c r="N123" i="1"/>
  <c r="N119" i="1"/>
  <c r="N115" i="1"/>
  <c r="N111" i="1"/>
  <c r="N107" i="1"/>
  <c r="N103" i="1"/>
  <c r="N99" i="1"/>
  <c r="N95" i="1"/>
  <c r="N91" i="1"/>
  <c r="N87" i="1"/>
  <c r="N83" i="1"/>
  <c r="N79" i="1"/>
  <c r="N75" i="1"/>
  <c r="N71" i="1"/>
  <c r="N67" i="1"/>
  <c r="N63" i="1"/>
  <c r="N59" i="1"/>
  <c r="N55" i="1"/>
  <c r="N51" i="1"/>
  <c r="N47" i="1"/>
  <c r="N43" i="1"/>
  <c r="N39" i="1"/>
  <c r="N35" i="1"/>
  <c r="N114" i="1"/>
  <c r="N110" i="1"/>
  <c r="N106" i="1"/>
  <c r="N102" i="1"/>
  <c r="N82" i="1"/>
  <c r="N78" i="1"/>
  <c r="N74" i="1"/>
  <c r="N54" i="1"/>
  <c r="N50" i="1"/>
  <c r="N42" i="1"/>
  <c r="N38" i="1"/>
  <c r="N34" i="1"/>
  <c r="F3" i="1"/>
  <c r="P108" i="1" l="1"/>
  <c r="P70" i="1"/>
  <c r="P50" i="1"/>
  <c r="P31" i="1"/>
  <c r="P88" i="1"/>
  <c r="T88" i="1" s="1"/>
  <c r="P120" i="1"/>
  <c r="T120" i="1" s="1"/>
  <c r="P107" i="1"/>
  <c r="P38" i="1"/>
  <c r="T38" i="1" s="1"/>
  <c r="P61" i="1"/>
  <c r="P93" i="1"/>
  <c r="P67" i="1"/>
  <c r="P55" i="1"/>
  <c r="P36" i="1"/>
  <c r="P68" i="1"/>
  <c r="T68" i="1" s="1"/>
  <c r="P100" i="1"/>
  <c r="T100" i="1" s="1"/>
  <c r="P111" i="1"/>
  <c r="T111" i="1" s="1"/>
  <c r="P94" i="1"/>
  <c r="P118" i="1"/>
  <c r="P78" i="1"/>
  <c r="P76" i="1"/>
  <c r="P122" i="1"/>
  <c r="T122" i="1" s="1"/>
  <c r="P58" i="1"/>
  <c r="P49" i="1"/>
  <c r="T49" i="1" s="1"/>
  <c r="P81" i="1"/>
  <c r="T81" i="1" s="1"/>
  <c r="P113" i="1"/>
  <c r="P35" i="1"/>
  <c r="P56" i="1"/>
  <c r="P43" i="1"/>
  <c r="P75" i="1"/>
  <c r="T75" i="1" s="1"/>
  <c r="P110" i="1"/>
  <c r="T110" i="1" s="1"/>
  <c r="P25" i="1"/>
  <c r="T25" i="1" s="1"/>
  <c r="P30" i="1"/>
  <c r="T30" i="1" s="1"/>
  <c r="P41" i="1"/>
  <c r="P73" i="1"/>
  <c r="P105" i="1"/>
  <c r="P71" i="1"/>
  <c r="P48" i="1"/>
  <c r="P80" i="1"/>
  <c r="P112" i="1"/>
  <c r="T112" i="1" s="1"/>
  <c r="P59" i="1"/>
  <c r="T59" i="1" s="1"/>
  <c r="P115" i="1"/>
  <c r="P62" i="1"/>
  <c r="P123" i="1"/>
  <c r="P46" i="1"/>
  <c r="P65" i="1"/>
  <c r="T65" i="1" s="1"/>
  <c r="P91" i="1"/>
  <c r="T91" i="1" s="1"/>
  <c r="P90" i="1"/>
  <c r="T90" i="1" s="1"/>
  <c r="P28" i="1"/>
  <c r="T28" i="1" s="1"/>
  <c r="P45" i="1"/>
  <c r="P77" i="1"/>
  <c r="P109" i="1"/>
  <c r="P83" i="1"/>
  <c r="P52" i="1"/>
  <c r="T52" i="1" s="1"/>
  <c r="P84" i="1"/>
  <c r="T84" i="1" s="1"/>
  <c r="P116" i="1"/>
  <c r="T116" i="1" s="1"/>
  <c r="P39" i="1"/>
  <c r="T39" i="1" s="1"/>
  <c r="P95" i="1"/>
  <c r="P66" i="1"/>
  <c r="P42" i="1"/>
  <c r="P114" i="1"/>
  <c r="P26" i="1"/>
  <c r="P106" i="1"/>
  <c r="T106" i="1" s="1"/>
  <c r="P86" i="1"/>
  <c r="P33" i="1"/>
  <c r="T33" i="1" s="1"/>
  <c r="P97" i="1"/>
  <c r="P79" i="1"/>
  <c r="P40" i="1"/>
  <c r="P72" i="1"/>
  <c r="P104" i="1"/>
  <c r="T104" i="1" s="1"/>
  <c r="P63" i="1"/>
  <c r="T63" i="1" s="1"/>
  <c r="P98" i="1"/>
  <c r="T98" i="1" s="1"/>
  <c r="P74" i="1"/>
  <c r="P54" i="1"/>
  <c r="P27" i="1"/>
  <c r="P57" i="1"/>
  <c r="P89" i="1"/>
  <c r="P121" i="1"/>
  <c r="T121" i="1" s="1"/>
  <c r="P119" i="1"/>
  <c r="T119" i="1" s="1"/>
  <c r="P64" i="1"/>
  <c r="P96" i="1"/>
  <c r="T96" i="1" s="1"/>
  <c r="P51" i="1"/>
  <c r="P99" i="1"/>
  <c r="P34" i="1"/>
  <c r="P102" i="1"/>
  <c r="P82" i="1"/>
  <c r="T82" i="1" s="1"/>
  <c r="T73" i="1"/>
  <c r="T51" i="1"/>
  <c r="T102" i="1"/>
  <c r="T53" i="1"/>
  <c r="T117" i="1"/>
  <c r="T124" i="1"/>
  <c r="T86" i="1"/>
  <c r="T31" i="1"/>
  <c r="T79" i="1"/>
  <c r="T54" i="1"/>
  <c r="T27" i="1"/>
  <c r="P24" i="1"/>
  <c r="T61" i="1"/>
  <c r="T67" i="1"/>
  <c r="T94" i="1"/>
  <c r="T78" i="1"/>
  <c r="T45" i="1"/>
  <c r="T109" i="1"/>
  <c r="T93" i="1"/>
  <c r="T83" i="1"/>
  <c r="T95" i="1"/>
  <c r="T77" i="1"/>
  <c r="T37" i="1"/>
  <c r="T69" i="1"/>
  <c r="T85" i="1"/>
  <c r="T101" i="1"/>
  <c r="T44" i="1"/>
  <c r="T60" i="1"/>
  <c r="T76" i="1"/>
  <c r="T92" i="1"/>
  <c r="T108" i="1"/>
  <c r="T47" i="1"/>
  <c r="T87" i="1"/>
  <c r="T103" i="1"/>
  <c r="T70" i="1"/>
  <c r="T50" i="1"/>
  <c r="T58" i="1"/>
  <c r="T29" i="1"/>
  <c r="T32" i="1"/>
  <c r="T97" i="1"/>
  <c r="T113" i="1"/>
  <c r="T35" i="1"/>
  <c r="T40" i="1"/>
  <c r="T56" i="1"/>
  <c r="T72" i="1"/>
  <c r="T43" i="1"/>
  <c r="T107" i="1"/>
  <c r="T74" i="1"/>
  <c r="T24" i="1"/>
  <c r="T55" i="1"/>
  <c r="T36" i="1"/>
  <c r="T118" i="1"/>
  <c r="T66" i="1"/>
  <c r="T42" i="1"/>
  <c r="T114" i="1"/>
  <c r="T26" i="1"/>
  <c r="T41" i="1"/>
  <c r="T57" i="1"/>
  <c r="T89" i="1"/>
  <c r="T105" i="1"/>
  <c r="T71" i="1"/>
  <c r="T48" i="1"/>
  <c r="T64" i="1"/>
  <c r="T80" i="1"/>
  <c r="T99" i="1"/>
  <c r="T115" i="1"/>
  <c r="T62" i="1"/>
  <c r="T34" i="1"/>
  <c r="T123" i="1"/>
  <c r="T46" i="1"/>
  <c r="P7" i="1"/>
  <c r="G16" i="1" s="1"/>
  <c r="C12" i="1"/>
  <c r="P5" i="1"/>
  <c r="G14" i="1" s="1"/>
  <c r="D12" i="1"/>
  <c r="P6" i="1"/>
  <c r="G15" i="1" s="1"/>
  <c r="P4" i="1"/>
  <c r="G13" i="1" s="1"/>
  <c r="F14" i="1"/>
  <c r="P8" i="1"/>
  <c r="G17" i="1" s="1"/>
  <c r="O4" i="1"/>
  <c r="F13" i="1" s="1"/>
  <c r="N4" i="1"/>
  <c r="E13" i="1" s="1"/>
  <c r="E16" i="1"/>
  <c r="M4" i="1"/>
  <c r="D13" i="1" s="1"/>
  <c r="Q3" i="1"/>
  <c r="H12" i="1" s="1"/>
  <c r="Q6" i="1"/>
  <c r="H15" i="1" s="1"/>
  <c r="Q4" i="1"/>
  <c r="H13" i="1" s="1"/>
  <c r="Q7" i="1"/>
  <c r="H16" i="1" s="1"/>
  <c r="Q5" i="1"/>
  <c r="H14" i="1" s="1"/>
  <c r="E15" i="1"/>
  <c r="D17" i="1"/>
  <c r="C15" i="1"/>
  <c r="F15" i="1"/>
  <c r="E12" i="1"/>
  <c r="C14" i="1"/>
  <c r="C16" i="1"/>
  <c r="E14" i="1"/>
  <c r="F16" i="1"/>
  <c r="C17" i="1"/>
  <c r="G12" i="1"/>
  <c r="D15" i="1"/>
  <c r="E17" i="1"/>
  <c r="D14" i="1"/>
  <c r="C13" i="1"/>
  <c r="F12" i="1"/>
  <c r="H17" i="1"/>
  <c r="F17" i="1"/>
  <c r="D16" i="1"/>
  <c r="N10" i="1" l="1"/>
  <c r="Q10" i="1"/>
</calcChain>
</file>

<file path=xl/sharedStrings.xml><?xml version="1.0" encoding="utf-8"?>
<sst xmlns="http://schemas.openxmlformats.org/spreadsheetml/2006/main" count="44" uniqueCount="32">
  <si>
    <t>Alpha =</t>
  </si>
  <si>
    <t>D values=</t>
  </si>
  <si>
    <t>GCIA1</t>
  </si>
  <si>
    <t>GCIA2</t>
  </si>
  <si>
    <t>GCIA3</t>
  </si>
  <si>
    <t>GCIA4</t>
  </si>
  <si>
    <t>GCIA5</t>
  </si>
  <si>
    <t>GCIA6</t>
  </si>
  <si>
    <t>r</t>
  </si>
  <si>
    <t>Z=</t>
  </si>
  <si>
    <t>Sum</t>
  </si>
  <si>
    <t>Error</t>
  </si>
  <si>
    <t>d1</t>
  </si>
  <si>
    <t>d2</t>
  </si>
  <si>
    <t>d3</t>
  </si>
  <si>
    <t>d4</t>
  </si>
  <si>
    <t>d5</t>
  </si>
  <si>
    <t>d6</t>
  </si>
  <si>
    <t>a1</t>
  </si>
  <si>
    <t>a2</t>
  </si>
  <si>
    <t>a3</t>
  </si>
  <si>
    <t>a4</t>
  </si>
  <si>
    <t>a5</t>
  </si>
  <si>
    <t>a6</t>
  </si>
  <si>
    <t>sum=</t>
  </si>
  <si>
    <t>0.9163596281D-02</t>
  </si>
  <si>
    <t>0.4936149294D-01</t>
  </si>
  <si>
    <t>0.1685383049D+00</t>
  </si>
  <si>
    <t>0.3705627997D+00</t>
  </si>
  <si>
    <t>0.4164915298D+00</t>
  </si>
  <si>
    <t>0.1303340841D+00</t>
  </si>
  <si>
    <t>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</si>
</sst>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Courie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0" xfId="0" applyFill="1" applyBorder="1"/>
    <xf numFmtId="0" fontId="1" fillId="0" borderId="0" xfId="0" applyFont="1" applyAlignment="1">
      <alignment horizontal="left" vertical="center" indent="1"/>
    </xf>
    <xf numFmtId="11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498690163729534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Sheet1!$P$23</c:f>
              <c:strCache>
                <c:ptCount val="1"/>
                <c:pt idx="0">
                  <c:v>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Sheet1!$A$24:$A$124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Sheet1!$P$24:$P$124</c:f>
              <c:numCache>
                <c:formatCode>General</c:formatCode>
                <c:ptCount val="101"/>
                <c:pt idx="0">
                  <c:v>2.3065313011121857E-24</c:v>
                </c:pt>
                <c:pt idx="1">
                  <c:v>1.8523118560914851E-23</c:v>
                </c:pt>
                <c:pt idx="2">
                  <c:v>1.4262346607755634E-22</c:v>
                </c:pt>
                <c:pt idx="3">
                  <c:v>1.0529069511400927E-21</c:v>
                </c:pt>
                <c:pt idx="4">
                  <c:v>7.4526568541074636E-21</c:v>
                </c:pt>
                <c:pt idx="5">
                  <c:v>5.0577153552845626E-20</c:v>
                </c:pt>
                <c:pt idx="6">
                  <c:v>3.2909385173853233E-19</c:v>
                </c:pt>
                <c:pt idx="7">
                  <c:v>2.0530866530860048E-18</c:v>
                </c:pt>
                <c:pt idx="8">
                  <c:v>1.2280524528159154E-17</c:v>
                </c:pt>
                <c:pt idx="9">
                  <c:v>7.0428539151790411E-17</c:v>
                </c:pt>
                <c:pt idx="10">
                  <c:v>3.8725993637744952E-16</c:v>
                </c:pt>
                <c:pt idx="11">
                  <c:v>2.0416372716791361E-15</c:v>
                </c:pt>
                <c:pt idx="12">
                  <c:v>1.0319929427857388E-14</c:v>
                </c:pt>
                <c:pt idx="13">
                  <c:v>5.0014622536067463E-14</c:v>
                </c:pt>
                <c:pt idx="14">
                  <c:v>2.3240174774436314E-13</c:v>
                </c:pt>
                <c:pt idx="15">
                  <c:v>1.0353898666790071E-12</c:v>
                </c:pt>
                <c:pt idx="16">
                  <c:v>4.4227313201800396E-12</c:v>
                </c:pt>
                <c:pt idx="17">
                  <c:v>1.8113372970454212E-11</c:v>
                </c:pt>
                <c:pt idx="18">
                  <c:v>7.1126301885026188E-11</c:v>
                </c:pt>
                <c:pt idx="19">
                  <c:v>2.6778315491268056E-10</c:v>
                </c:pt>
                <c:pt idx="20">
                  <c:v>9.6662585053740407E-10</c:v>
                </c:pt>
                <c:pt idx="21">
                  <c:v>3.3454587775875237E-9</c:v>
                </c:pt>
                <c:pt idx="22">
                  <c:v>1.1101331892598733E-8</c:v>
                </c:pt>
                <c:pt idx="23">
                  <c:v>3.5319668389042691E-8</c:v>
                </c:pt>
                <c:pt idx="24">
                  <c:v>1.0774082004516466E-7</c:v>
                </c:pt>
                <c:pt idx="25">
                  <c:v>3.1511282109846598E-7</c:v>
                </c:pt>
                <c:pt idx="26">
                  <c:v>8.8363731129778907E-7</c:v>
                </c:pt>
                <c:pt idx="27">
                  <c:v>2.3757696773516646E-6</c:v>
                </c:pt>
                <c:pt idx="28">
                  <c:v>6.1243141690556365E-6</c:v>
                </c:pt>
                <c:pt idx="29">
                  <c:v>1.5136838847997334E-5</c:v>
                </c:pt>
                <c:pt idx="30">
                  <c:v>3.5870969405216562E-5</c:v>
                </c:pt>
                <c:pt idx="31">
                  <c:v>8.1507555953575132E-5</c:v>
                </c:pt>
                <c:pt idx="32">
                  <c:v>1.7760106317948004E-4</c:v>
                </c:pt>
                <c:pt idx="33">
                  <c:v>3.7119771344788739E-4</c:v>
                </c:pt>
                <c:pt idx="34">
                  <c:v>7.446687057044122E-4</c:v>
                </c:pt>
                <c:pt idx="35">
                  <c:v>1.4360007692209983E-3</c:v>
                </c:pt>
                <c:pt idx="36">
                  <c:v>2.6697868891251255E-3</c:v>
                </c:pt>
                <c:pt idx="37">
                  <c:v>4.8119267236503057E-3</c:v>
                </c:pt>
                <c:pt idx="38">
                  <c:v>8.4830192575044375E-3</c:v>
                </c:pt>
                <c:pt idx="39">
                  <c:v>1.4804036093197399E-2</c:v>
                </c:pt>
                <c:pt idx="40">
                  <c:v>2.5884684385742096E-2</c:v>
                </c:pt>
                <c:pt idx="41">
                  <c:v>4.5643480007429633E-2</c:v>
                </c:pt>
                <c:pt idx="42">
                  <c:v>8.0951285251731925E-2</c:v>
                </c:pt>
                <c:pt idx="43">
                  <c:v>0.14327565961556049</c:v>
                </c:pt>
                <c:pt idx="44">
                  <c:v>0.25239548659823186</c:v>
                </c:pt>
                <c:pt idx="45">
                  <c:v>0.44526858810287745</c:v>
                </c:pt>
                <c:pt idx="46">
                  <c:v>0.78760971644368027</c:v>
                </c:pt>
                <c:pt idx="47">
                  <c:v>1.3884071176214166</c:v>
                </c:pt>
                <c:pt idx="48">
                  <c:v>2.4549313578887029</c:v>
                </c:pt>
                <c:pt idx="49">
                  <c:v>4.3365660285680336</c:v>
                </c:pt>
                <c:pt idx="50">
                  <c:v>7.1858035485614842</c:v>
                </c:pt>
                <c:pt idx="51">
                  <c:v>4.3365660285690231</c:v>
                </c:pt>
                <c:pt idx="52">
                  <c:v>2.4549313578892598</c:v>
                </c:pt>
                <c:pt idx="53">
                  <c:v>1.3884071176217316</c:v>
                </c:pt>
                <c:pt idx="54">
                  <c:v>0.78760971644385935</c:v>
                </c:pt>
                <c:pt idx="55">
                  <c:v>0.44526858810297892</c:v>
                </c:pt>
                <c:pt idx="56">
                  <c:v>0.25239548659828887</c:v>
                </c:pt>
                <c:pt idx="57">
                  <c:v>0.14327565961559313</c:v>
                </c:pt>
                <c:pt idx="58">
                  <c:v>8.0951285251745914E-2</c:v>
                </c:pt>
                <c:pt idx="59">
                  <c:v>4.5643480007437467E-2</c:v>
                </c:pt>
                <c:pt idx="60">
                  <c:v>2.5884684385746461E-2</c:v>
                </c:pt>
                <c:pt idx="61">
                  <c:v>1.4804036093199862E-2</c:v>
                </c:pt>
                <c:pt idx="62">
                  <c:v>8.48301925750586E-3</c:v>
                </c:pt>
                <c:pt idx="63">
                  <c:v>4.8119267236511375E-3</c:v>
                </c:pt>
                <c:pt idx="64">
                  <c:v>2.6697868891256064E-3</c:v>
                </c:pt>
                <c:pt idx="65">
                  <c:v>1.4360007692212737E-3</c:v>
                </c:pt>
                <c:pt idx="66">
                  <c:v>7.4466870570456313E-4</c:v>
                </c:pt>
                <c:pt idx="67">
                  <c:v>3.7119771344796724E-4</c:v>
                </c:pt>
                <c:pt idx="68">
                  <c:v>1.7760106317952045E-4</c:v>
                </c:pt>
                <c:pt idx="69">
                  <c:v>8.1507555953594661E-5</c:v>
                </c:pt>
                <c:pt idx="70">
                  <c:v>3.5870969405225683E-5</c:v>
                </c:pt>
                <c:pt idx="71">
                  <c:v>1.5136838848002657E-5</c:v>
                </c:pt>
                <c:pt idx="72">
                  <c:v>6.1243141690578981E-6</c:v>
                </c:pt>
                <c:pt idx="73">
                  <c:v>2.3757696773525849E-6</c:v>
                </c:pt>
                <c:pt idx="74">
                  <c:v>8.8363731129814684E-7</c:v>
                </c:pt>
                <c:pt idx="75">
                  <c:v>3.151128210985997E-7</c:v>
                </c:pt>
                <c:pt idx="76">
                  <c:v>1.0774082004521174E-7</c:v>
                </c:pt>
                <c:pt idx="77">
                  <c:v>3.5319668389058758E-8</c:v>
                </c:pt>
                <c:pt idx="78">
                  <c:v>1.1101331892603979E-8</c:v>
                </c:pt>
                <c:pt idx="79">
                  <c:v>3.345458777589152E-9</c:v>
                </c:pt>
                <c:pt idx="80">
                  <c:v>9.6662585053789851E-10</c:v>
                </c:pt>
                <c:pt idx="81">
                  <c:v>2.6778315491281943E-10</c:v>
                </c:pt>
                <c:pt idx="82">
                  <c:v>7.1126301885064354E-11</c:v>
                </c:pt>
                <c:pt idx="83">
                  <c:v>1.8113372970464251E-11</c:v>
                </c:pt>
                <c:pt idx="84">
                  <c:v>4.4227313201825696E-12</c:v>
                </c:pt>
                <c:pt idx="85">
                  <c:v>1.0353898666796253E-12</c:v>
                </c:pt>
                <c:pt idx="86">
                  <c:v>2.3240174774446881E-13</c:v>
                </c:pt>
                <c:pt idx="87">
                  <c:v>5.001462253609092E-14</c:v>
                </c:pt>
                <c:pt idx="88">
                  <c:v>1.0319929427862301E-14</c:v>
                </c:pt>
                <c:pt idx="89">
                  <c:v>2.0416372716801371E-15</c:v>
                </c:pt>
                <c:pt idx="90">
                  <c:v>3.8725993637764762E-16</c:v>
                </c:pt>
                <c:pt idx="91">
                  <c:v>7.0428539151825947E-17</c:v>
                </c:pt>
                <c:pt idx="92">
                  <c:v>1.2280524528165699E-17</c:v>
                </c:pt>
                <c:pt idx="93">
                  <c:v>2.0530866530871137E-18</c:v>
                </c:pt>
                <c:pt idx="94">
                  <c:v>3.2909385173871477E-19</c:v>
                </c:pt>
                <c:pt idx="95">
                  <c:v>5.0577153552874731E-20</c:v>
                </c:pt>
                <c:pt idx="96">
                  <c:v>7.4526568541117006E-21</c:v>
                </c:pt>
                <c:pt idx="97">
                  <c:v>1.0529069511407286E-21</c:v>
                </c:pt>
                <c:pt idx="98">
                  <c:v>1.426234660776435E-22</c:v>
                </c:pt>
                <c:pt idx="99">
                  <c:v>1.8523118560930118E-23</c:v>
                </c:pt>
                <c:pt idx="100">
                  <c:v>2.3065313011141359E-24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63-4B21-BCB4-5605E30F42F6}"/>
            </c:ext>
          </c:extLst>
        </c:ser>
        <c:ser>
          <c:idx val="3"/>
          <c:order val="1"/>
          <c:tx>
            <c:strRef>
              <c:f>Sheet1!$R$23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Sheet1!$A$24:$A$124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Sheet1!$R$24:$R$124</c:f>
              <c:numCache>
                <c:formatCode>General</c:formatCode>
                <c:ptCount val="101"/>
                <c:pt idx="0">
                  <c:v>7.7592095728628872E-13</c:v>
                </c:pt>
                <c:pt idx="1">
                  <c:v>1.4138201638883447E-12</c:v>
                </c:pt>
                <c:pt idx="2">
                  <c:v>2.5761483009921566E-12</c:v>
                </c:pt>
                <c:pt idx="3">
                  <c:v>4.6940482518318492E-12</c:v>
                </c:pt>
                <c:pt idx="4">
                  <c:v>8.5531135696030574E-12</c:v>
                </c:pt>
                <c:pt idx="5">
                  <c:v>1.5584789037048872E-11</c:v>
                </c:pt>
                <c:pt idx="6">
                  <c:v>2.8397337104526589E-11</c:v>
                </c:pt>
                <c:pt idx="7">
                  <c:v>5.1743321819185135E-11</c:v>
                </c:pt>
                <c:pt idx="8">
                  <c:v>9.4282479481393137E-11</c:v>
                </c:pt>
                <c:pt idx="9">
                  <c:v>1.7179387841047968E-10</c:v>
                </c:pt>
                <c:pt idx="10">
                  <c:v>3.1302885564373555E-10</c:v>
                </c:pt>
                <c:pt idx="11">
                  <c:v>5.7037576293317799E-10</c:v>
                </c:pt>
                <c:pt idx="12">
                  <c:v>1.0392924009276251E-9</c:v>
                </c:pt>
                <c:pt idx="13">
                  <c:v>1.8937142228332055E-9</c:v>
                </c:pt>
                <c:pt idx="14">
                  <c:v>3.45057228799129E-9</c:v>
                </c:pt>
                <c:pt idx="15">
                  <c:v>6.2873526380550523E-9</c:v>
                </c:pt>
                <c:pt idx="16">
                  <c:v>1.1456303446484951E-8</c:v>
                </c:pt>
                <c:pt idx="17">
                  <c:v>2.0874745892818841E-8</c:v>
                </c:pt>
                <c:pt idx="18">
                  <c:v>3.8036266944679828E-8</c:v>
                </c:pt>
                <c:pt idx="19">
                  <c:v>6.9306597096573277E-8</c:v>
                </c:pt>
                <c:pt idx="20">
                  <c:v>1.2628485356075613E-7</c:v>
                </c:pt>
                <c:pt idx="21">
                  <c:v>2.3010600587761558E-7</c:v>
                </c:pt>
                <c:pt idx="22">
                  <c:v>4.1928047939237295E-7</c:v>
                </c:pt>
                <c:pt idx="23">
                  <c:v>7.639788441375892E-7</c:v>
                </c:pt>
                <c:pt idx="24">
                  <c:v>1.3920602150037136E-6</c:v>
                </c:pt>
                <c:pt idx="25">
                  <c:v>2.5364990890339149E-6</c:v>
                </c:pt>
                <c:pt idx="26">
                  <c:v>4.621802677302095E-6</c:v>
                </c:pt>
                <c:pt idx="27">
                  <c:v>8.4214735500073325E-6</c:v>
                </c:pt>
                <c:pt idx="28">
                  <c:v>1.5344925282459783E-5</c:v>
                </c:pt>
                <c:pt idx="29">
                  <c:v>2.7960276847757653E-5</c:v>
                </c:pt>
                <c:pt idx="30">
                  <c:v>5.0946946108422586E-5</c:v>
                </c:pt>
                <c:pt idx="31">
                  <c:v>9.2831388326639012E-5</c:v>
                </c:pt>
                <c:pt idx="32">
                  <c:v>1.6914981793632059E-4</c:v>
                </c:pt>
                <c:pt idx="33">
                  <c:v>3.082110633444019E-4</c:v>
                </c:pt>
                <c:pt idx="34">
                  <c:v>5.6159717300818454E-4</c:v>
                </c:pt>
                <c:pt idx="35">
                  <c:v>1.0232967671843741E-3</c:v>
                </c:pt>
                <c:pt idx="36">
                  <c:v>1.8645682778654804E-3</c:v>
                </c:pt>
                <c:pt idx="37">
                  <c:v>3.3974649137104422E-3</c:v>
                </c:pt>
                <c:pt idx="38">
                  <c:v>6.1905846929389179E-3</c:v>
                </c:pt>
                <c:pt idx="39">
                  <c:v>1.1279980754413705E-2</c:v>
                </c:pt>
                <c:pt idx="40">
                  <c:v>2.0553465000660322E-2</c:v>
                </c:pt>
                <c:pt idx="41">
                  <c:v>3.7450854990871515E-2</c:v>
                </c:pt>
                <c:pt idx="42">
                  <c:v>6.8239906969565695E-2</c:v>
                </c:pt>
                <c:pt idx="43">
                  <c:v>0.12434121742613752</c:v>
                </c:pt>
                <c:pt idx="44">
                  <c:v>0.22656446993560925</c:v>
                </c:pt>
                <c:pt idx="45">
                  <c:v>0.41282738017018372</c:v>
                </c:pt>
                <c:pt idx="46">
                  <c:v>0.75222053072405148</c:v>
                </c:pt>
                <c:pt idx="47">
                  <c:v>1.3706351710720215</c:v>
                </c:pt>
                <c:pt idx="48">
                  <c:v>2.4974601136867909</c:v>
                </c:pt>
                <c:pt idx="49">
                  <c:v>4.5506690263741199</c:v>
                </c:pt>
                <c:pt idx="50">
                  <c:v>8.2918595873110359</c:v>
                </c:pt>
                <c:pt idx="51">
                  <c:v>4.5506690263752096</c:v>
                </c:pt>
                <c:pt idx="52">
                  <c:v>2.4974601136873904</c:v>
                </c:pt>
                <c:pt idx="53">
                  <c:v>1.3706351710723501</c:v>
                </c:pt>
                <c:pt idx="54">
                  <c:v>0.75222053072423223</c:v>
                </c:pt>
                <c:pt idx="55">
                  <c:v>0.41282738017028275</c:v>
                </c:pt>
                <c:pt idx="56">
                  <c:v>0.22656446993566362</c:v>
                </c:pt>
                <c:pt idx="57">
                  <c:v>0.12434121742616736</c:v>
                </c:pt>
                <c:pt idx="58">
                  <c:v>6.823990696957799E-2</c:v>
                </c:pt>
                <c:pt idx="59">
                  <c:v>3.7450854990878239E-2</c:v>
                </c:pt>
                <c:pt idx="60">
                  <c:v>2.0553465000664024E-2</c:v>
                </c:pt>
                <c:pt idx="61">
                  <c:v>1.1279980754415728E-2</c:v>
                </c:pt>
                <c:pt idx="62">
                  <c:v>6.190584692940029E-3</c:v>
                </c:pt>
                <c:pt idx="63">
                  <c:v>3.3974649137110545E-3</c:v>
                </c:pt>
                <c:pt idx="64">
                  <c:v>1.864568277865815E-3</c:v>
                </c:pt>
                <c:pt idx="65">
                  <c:v>1.0232967671845597E-3</c:v>
                </c:pt>
                <c:pt idx="66">
                  <c:v>5.6159717300828537E-4</c:v>
                </c:pt>
                <c:pt idx="67">
                  <c:v>3.0821106334445725E-4</c:v>
                </c:pt>
                <c:pt idx="68">
                  <c:v>1.6914981793635125E-4</c:v>
                </c:pt>
                <c:pt idx="69">
                  <c:v>9.2831388326655668E-5</c:v>
                </c:pt>
                <c:pt idx="70">
                  <c:v>5.0946946108431816E-5</c:v>
                </c:pt>
                <c:pt idx="71">
                  <c:v>2.7960276847764304E-5</c:v>
                </c:pt>
                <c:pt idx="72">
                  <c:v>1.5344925282463466E-5</c:v>
                </c:pt>
                <c:pt idx="73">
                  <c:v>8.4214735500093671E-6</c:v>
                </c:pt>
                <c:pt idx="74">
                  <c:v>4.6218026773032029E-6</c:v>
                </c:pt>
                <c:pt idx="75">
                  <c:v>2.5364990890345282E-6</c:v>
                </c:pt>
                <c:pt idx="76">
                  <c:v>1.392060215004045E-6</c:v>
                </c:pt>
                <c:pt idx="77">
                  <c:v>7.6397884413777375E-7</c:v>
                </c:pt>
                <c:pt idx="78">
                  <c:v>4.1928047939247427E-7</c:v>
                </c:pt>
                <c:pt idx="79">
                  <c:v>2.3010600587767116E-7</c:v>
                </c:pt>
                <c:pt idx="80">
                  <c:v>1.2628485356078665E-7</c:v>
                </c:pt>
                <c:pt idx="81">
                  <c:v>6.9306597096589768E-8</c:v>
                </c:pt>
                <c:pt idx="82">
                  <c:v>3.8036266944689013E-8</c:v>
                </c:pt>
                <c:pt idx="83">
                  <c:v>2.0874745892823884E-8</c:v>
                </c:pt>
                <c:pt idx="84">
                  <c:v>1.1456303446487717E-8</c:v>
                </c:pt>
                <c:pt idx="85">
                  <c:v>6.2873526380565718E-9</c:v>
                </c:pt>
                <c:pt idx="86">
                  <c:v>3.4505722879919153E-9</c:v>
                </c:pt>
                <c:pt idx="87">
                  <c:v>1.893714222833555E-9</c:v>
                </c:pt>
                <c:pt idx="88">
                  <c:v>1.0392924009278098E-9</c:v>
                </c:pt>
                <c:pt idx="89">
                  <c:v>5.7037576293327932E-10</c:v>
                </c:pt>
                <c:pt idx="90">
                  <c:v>3.1302885564379221E-10</c:v>
                </c:pt>
                <c:pt idx="91">
                  <c:v>1.7179387841050959E-10</c:v>
                </c:pt>
                <c:pt idx="92">
                  <c:v>9.4282479481410547E-11</c:v>
                </c:pt>
                <c:pt idx="93">
                  <c:v>5.1743321819194324E-11</c:v>
                </c:pt>
                <c:pt idx="94">
                  <c:v>2.8397337104531733E-11</c:v>
                </c:pt>
                <c:pt idx="95">
                  <c:v>1.5584789037051696E-11</c:v>
                </c:pt>
                <c:pt idx="96">
                  <c:v>8.5531135696045454E-12</c:v>
                </c:pt>
                <c:pt idx="97">
                  <c:v>4.6940482518327168E-12</c:v>
                </c:pt>
                <c:pt idx="98">
                  <c:v>2.5761483009926142E-12</c:v>
                </c:pt>
                <c:pt idx="99">
                  <c:v>1.4138201638886814E-12</c:v>
                </c:pt>
                <c:pt idx="100">
                  <c:v>7.7592095728647623E-13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63-4B21-BCB4-5605E30F4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894136"/>
        <c:axId val="261897744"/>
      </c:scatterChart>
      <c:valAx>
        <c:axId val="261894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897744"/>
        <c:crosses val="autoZero"/>
        <c:crossBetween val="midCat"/>
      </c:valAx>
      <c:valAx>
        <c:axId val="26189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894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Sheet2!$A$1:$A$42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</c:numCache>
            </c:numRef>
          </c:xVal>
          <c:yVal>
            <c:numRef>
              <c:f>Sheet2!$B$1:$B$42</c:f>
              <c:numCache>
                <c:formatCode>General</c:formatCode>
                <c:ptCount val="42"/>
                <c:pt idx="0">
                  <c:v>2</c:v>
                </c:pt>
                <c:pt idx="1">
                  <c:v>1.809674836071919</c:v>
                </c:pt>
                <c:pt idx="2">
                  <c:v>1.6374615061559636</c:v>
                </c:pt>
                <c:pt idx="3">
                  <c:v>1.4816364413634358</c:v>
                </c:pt>
                <c:pt idx="4">
                  <c:v>1.3406400920712787</c:v>
                </c:pt>
                <c:pt idx="5">
                  <c:v>1.2130613194252668</c:v>
                </c:pt>
                <c:pt idx="6">
                  <c:v>1.097623272188053</c:v>
                </c:pt>
                <c:pt idx="7">
                  <c:v>0.99317060758281905</c:v>
                </c:pt>
                <c:pt idx="8">
                  <c:v>0.89865792823444313</c:v>
                </c:pt>
                <c:pt idx="9">
                  <c:v>0.81313931948119822</c:v>
                </c:pt>
                <c:pt idx="10">
                  <c:v>0.73575888234288467</c:v>
                </c:pt>
                <c:pt idx="11">
                  <c:v>0.6657421673961591</c:v>
                </c:pt>
                <c:pt idx="12">
                  <c:v>0.60238842382440427</c:v>
                </c:pt>
                <c:pt idx="13">
                  <c:v>0.54506358606802519</c:v>
                </c:pt>
                <c:pt idx="14">
                  <c:v>0.49319392788321298</c:v>
                </c:pt>
                <c:pt idx="15">
                  <c:v>0.44626032029685964</c:v>
                </c:pt>
                <c:pt idx="16">
                  <c:v>0.40379303598931077</c:v>
                </c:pt>
                <c:pt idx="17">
                  <c:v>0.36536704810546933</c:v>
                </c:pt>
                <c:pt idx="18">
                  <c:v>0.33059777644317306</c:v>
                </c:pt>
                <c:pt idx="19">
                  <c:v>0.29913723844527013</c:v>
                </c:pt>
                <c:pt idx="20">
                  <c:v>0.2706705664732254</c:v>
                </c:pt>
                <c:pt idx="21">
                  <c:v>0.24491285650596381</c:v>
                </c:pt>
                <c:pt idx="22">
                  <c:v>0.22160631672466774</c:v>
                </c:pt>
                <c:pt idx="23">
                  <c:v>0.2005176874456075</c:v>
                </c:pt>
                <c:pt idx="24">
                  <c:v>0.18143590657882502</c:v>
                </c:pt>
                <c:pt idx="25">
                  <c:v>0.1641699972477976</c:v>
                </c:pt>
                <c:pt idx="26">
                  <c:v>0.14854715642866775</c:v>
                </c:pt>
                <c:pt idx="27">
                  <c:v>0.13441102547949951</c:v>
                </c:pt>
                <c:pt idx="28">
                  <c:v>0.12162012525043595</c:v>
                </c:pt>
                <c:pt idx="29">
                  <c:v>0.11004644011281446</c:v>
                </c:pt>
                <c:pt idx="30">
                  <c:v>9.9574136735727889E-2</c:v>
                </c:pt>
                <c:pt idx="31">
                  <c:v>9.0098404787115602E-2</c:v>
                </c:pt>
                <c:pt idx="32">
                  <c:v>8.1524407956732423E-2</c:v>
                </c:pt>
                <c:pt idx="33">
                  <c:v>7.376633480248003E-2</c:v>
                </c:pt>
                <c:pt idx="34">
                  <c:v>6.6746539920652159E-2</c:v>
                </c:pt>
                <c:pt idx="35">
                  <c:v>6.0394766844637002E-2</c:v>
                </c:pt>
                <c:pt idx="36">
                  <c:v>5.4647444894585118E-2</c:v>
                </c:pt>
                <c:pt idx="37">
                  <c:v>4.9447052940678776E-2</c:v>
                </c:pt>
                <c:pt idx="38">
                  <c:v>4.4741543712331203E-2</c:v>
                </c:pt>
                <c:pt idx="39">
                  <c:v>4.0483822891608783E-2</c:v>
                </c:pt>
                <c:pt idx="40">
                  <c:v>3.6631277777468357E-2</c:v>
                </c:pt>
                <c:pt idx="41">
                  <c:v>3.3145350803522509E-2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95-4B6C-977E-67F07251C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646224"/>
        <c:axId val="362177264"/>
      </c:scatterChart>
      <c:valAx>
        <c:axId val="35664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177264"/>
        <c:crosses val="autoZero"/>
        <c:crossBetween val="midCat"/>
      </c:valAx>
      <c:valAx>
        <c:axId val="3621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4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Sheet2!$A$1:$A$284</c:f>
              <c:numCache>
                <c:formatCode>General</c:formatCode>
                <c:ptCount val="28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5.4999999999999902</c:v>
                </c:pt>
                <c:pt idx="56">
                  <c:v>5.5999999999999899</c:v>
                </c:pt>
                <c:pt idx="57">
                  <c:v>5.6999999999999904</c:v>
                </c:pt>
                <c:pt idx="58">
                  <c:v>5.7999999999999901</c:v>
                </c:pt>
                <c:pt idx="59">
                  <c:v>5.8999999999999897</c:v>
                </c:pt>
                <c:pt idx="60">
                  <c:v>5.9999999999999902</c:v>
                </c:pt>
                <c:pt idx="61">
                  <c:v>6.0999999999999899</c:v>
                </c:pt>
                <c:pt idx="62">
                  <c:v>6.1999999999999904</c:v>
                </c:pt>
                <c:pt idx="63">
                  <c:v>6.2999999999999901</c:v>
                </c:pt>
                <c:pt idx="64">
                  <c:v>6.3999999999999897</c:v>
                </c:pt>
                <c:pt idx="65">
                  <c:v>6.4999999999999902</c:v>
                </c:pt>
                <c:pt idx="66">
                  <c:v>6.5999999999999899</c:v>
                </c:pt>
                <c:pt idx="67">
                  <c:v>6.6999999999999904</c:v>
                </c:pt>
                <c:pt idx="68">
                  <c:v>6.7999999999999901</c:v>
                </c:pt>
                <c:pt idx="69">
                  <c:v>6.8999999999999897</c:v>
                </c:pt>
                <c:pt idx="70">
                  <c:v>6.9999999999999902</c:v>
                </c:pt>
                <c:pt idx="71">
                  <c:v>7.0999999999999899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7.4999999999999902</c:v>
                </c:pt>
                <c:pt idx="76">
                  <c:v>7.5999999999999899</c:v>
                </c:pt>
                <c:pt idx="77">
                  <c:v>7.6999999999999904</c:v>
                </c:pt>
                <c:pt idx="78">
                  <c:v>7.7999999999999901</c:v>
                </c:pt>
                <c:pt idx="79">
                  <c:v>7.8999999999999897</c:v>
                </c:pt>
                <c:pt idx="80">
                  <c:v>7.9999999999999902</c:v>
                </c:pt>
                <c:pt idx="81">
                  <c:v>8.0999999999999908</c:v>
                </c:pt>
                <c:pt idx="82">
                  <c:v>8.1999999999999904</c:v>
                </c:pt>
                <c:pt idx="83">
                  <c:v>8.2999999999999794</c:v>
                </c:pt>
                <c:pt idx="84">
                  <c:v>8.3999999999999808</c:v>
                </c:pt>
                <c:pt idx="85">
                  <c:v>8.4999999999999805</c:v>
                </c:pt>
                <c:pt idx="86">
                  <c:v>8.5999999999999801</c:v>
                </c:pt>
                <c:pt idx="87">
                  <c:v>8.6999999999999797</c:v>
                </c:pt>
                <c:pt idx="88">
                  <c:v>8.7999999999999794</c:v>
                </c:pt>
                <c:pt idx="89">
                  <c:v>8.8999999999999808</c:v>
                </c:pt>
                <c:pt idx="90">
                  <c:v>8.9999999999999805</c:v>
                </c:pt>
                <c:pt idx="91">
                  <c:v>9.0999999999999801</c:v>
                </c:pt>
                <c:pt idx="92">
                  <c:v>9.1999999999999797</c:v>
                </c:pt>
                <c:pt idx="93">
                  <c:v>9.2999999999999794</c:v>
                </c:pt>
                <c:pt idx="94">
                  <c:v>9.3999999999999808</c:v>
                </c:pt>
                <c:pt idx="95">
                  <c:v>9.4999999999999805</c:v>
                </c:pt>
                <c:pt idx="96">
                  <c:v>9.5999999999999801</c:v>
                </c:pt>
                <c:pt idx="97">
                  <c:v>9.6999999999999797</c:v>
                </c:pt>
                <c:pt idx="98">
                  <c:v>9.7999999999999794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18.099999999999898</c:v>
                </c:pt>
                <c:pt idx="182">
                  <c:v>18.1999999999999</c:v>
                </c:pt>
                <c:pt idx="183">
                  <c:v>18.299999999999901</c:v>
                </c:pt>
                <c:pt idx="184">
                  <c:v>18.399999999999899</c:v>
                </c:pt>
                <c:pt idx="185">
                  <c:v>18.499999999999901</c:v>
                </c:pt>
                <c:pt idx="186">
                  <c:v>18.599999999999898</c:v>
                </c:pt>
                <c:pt idx="187">
                  <c:v>18.6999999999999</c:v>
                </c:pt>
                <c:pt idx="188">
                  <c:v>18.799999999999901</c:v>
                </c:pt>
                <c:pt idx="189">
                  <c:v>18.899999999999899</c:v>
                </c:pt>
                <c:pt idx="190">
                  <c:v>18.999999999999901</c:v>
                </c:pt>
                <c:pt idx="191">
                  <c:v>19.099999999999898</c:v>
                </c:pt>
                <c:pt idx="192">
                  <c:v>19.1999999999999</c:v>
                </c:pt>
                <c:pt idx="193">
                  <c:v>19.299999999999901</c:v>
                </c:pt>
                <c:pt idx="194">
                  <c:v>19.399999999999899</c:v>
                </c:pt>
                <c:pt idx="195">
                  <c:v>19.499999999999901</c:v>
                </c:pt>
                <c:pt idx="196">
                  <c:v>19.599999999999898</c:v>
                </c:pt>
                <c:pt idx="197">
                  <c:v>19.6999999999999</c:v>
                </c:pt>
                <c:pt idx="198">
                  <c:v>19.799999999999901</c:v>
                </c:pt>
                <c:pt idx="199">
                  <c:v>19.899999999999899</c:v>
                </c:pt>
                <c:pt idx="200">
                  <c:v>19.999999999999901</c:v>
                </c:pt>
                <c:pt idx="201">
                  <c:v>20.099999999999898</c:v>
                </c:pt>
                <c:pt idx="202">
                  <c:v>20.1999999999999</c:v>
                </c:pt>
                <c:pt idx="203">
                  <c:v>20.299999999999901</c:v>
                </c:pt>
                <c:pt idx="204">
                  <c:v>20.399999999999899</c:v>
                </c:pt>
                <c:pt idx="205">
                  <c:v>20.499999999999901</c:v>
                </c:pt>
                <c:pt idx="206">
                  <c:v>20.599999999999898</c:v>
                </c:pt>
                <c:pt idx="207">
                  <c:v>20.6999999999999</c:v>
                </c:pt>
                <c:pt idx="208">
                  <c:v>20.799999999999901</c:v>
                </c:pt>
                <c:pt idx="209">
                  <c:v>20.899999999999899</c:v>
                </c:pt>
                <c:pt idx="210">
                  <c:v>20.999999999999901</c:v>
                </c:pt>
                <c:pt idx="211">
                  <c:v>21.099999999999898</c:v>
                </c:pt>
                <c:pt idx="212">
                  <c:v>21.1999999999999</c:v>
                </c:pt>
                <c:pt idx="213">
                  <c:v>21.299999999999901</c:v>
                </c:pt>
                <c:pt idx="214">
                  <c:v>21.399999999999899</c:v>
                </c:pt>
                <c:pt idx="215">
                  <c:v>21.499999999999901</c:v>
                </c:pt>
                <c:pt idx="216">
                  <c:v>21.599999999999898</c:v>
                </c:pt>
                <c:pt idx="217">
                  <c:v>21.6999999999999</c:v>
                </c:pt>
                <c:pt idx="218">
                  <c:v>21.799999999999901</c:v>
                </c:pt>
                <c:pt idx="219">
                  <c:v>21.899999999999899</c:v>
                </c:pt>
                <c:pt idx="220">
                  <c:v>21.999999999999901</c:v>
                </c:pt>
                <c:pt idx="221">
                  <c:v>22.099999999999898</c:v>
                </c:pt>
                <c:pt idx="222">
                  <c:v>22.1999999999999</c:v>
                </c:pt>
                <c:pt idx="223">
                  <c:v>22.299999999999901</c:v>
                </c:pt>
                <c:pt idx="224">
                  <c:v>22.399999999999899</c:v>
                </c:pt>
                <c:pt idx="225">
                  <c:v>22.499999999999901</c:v>
                </c:pt>
                <c:pt idx="226">
                  <c:v>22.599999999999898</c:v>
                </c:pt>
                <c:pt idx="227">
                  <c:v>22.6999999999999</c:v>
                </c:pt>
                <c:pt idx="228">
                  <c:v>22.799999999999901</c:v>
                </c:pt>
                <c:pt idx="229">
                  <c:v>22.899999999999899</c:v>
                </c:pt>
                <c:pt idx="230">
                  <c:v>22.999999999999901</c:v>
                </c:pt>
                <c:pt idx="231">
                  <c:v>23.099999999999898</c:v>
                </c:pt>
                <c:pt idx="232">
                  <c:v>23.1999999999999</c:v>
                </c:pt>
                <c:pt idx="233">
                  <c:v>23.299999999999901</c:v>
                </c:pt>
                <c:pt idx="234">
                  <c:v>23.399999999999899</c:v>
                </c:pt>
                <c:pt idx="235">
                  <c:v>23.499999999999901</c:v>
                </c:pt>
                <c:pt idx="236">
                  <c:v>23.599999999999898</c:v>
                </c:pt>
                <c:pt idx="237">
                  <c:v>23.6999999999999</c:v>
                </c:pt>
                <c:pt idx="238">
                  <c:v>23.799999999999901</c:v>
                </c:pt>
                <c:pt idx="239">
                  <c:v>23.899999999999899</c:v>
                </c:pt>
                <c:pt idx="240">
                  <c:v>23.999999999999901</c:v>
                </c:pt>
                <c:pt idx="241">
                  <c:v>24.099999999999898</c:v>
                </c:pt>
                <c:pt idx="242">
                  <c:v>24.1999999999999</c:v>
                </c:pt>
                <c:pt idx="243">
                  <c:v>24.299999999999901</c:v>
                </c:pt>
                <c:pt idx="244">
                  <c:v>24.399999999999899</c:v>
                </c:pt>
                <c:pt idx="245">
                  <c:v>24.499999999999901</c:v>
                </c:pt>
                <c:pt idx="246">
                  <c:v>24.599999999999898</c:v>
                </c:pt>
                <c:pt idx="247">
                  <c:v>24.6999999999999</c:v>
                </c:pt>
                <c:pt idx="248">
                  <c:v>24.799999999999901</c:v>
                </c:pt>
                <c:pt idx="249">
                  <c:v>24.899999999999899</c:v>
                </c:pt>
                <c:pt idx="250">
                  <c:v>24.999999999999901</c:v>
                </c:pt>
                <c:pt idx="251">
                  <c:v>25.099999999999898</c:v>
                </c:pt>
                <c:pt idx="252">
                  <c:v>25.1999999999999</c:v>
                </c:pt>
                <c:pt idx="253">
                  <c:v>25.299999999999901</c:v>
                </c:pt>
                <c:pt idx="254">
                  <c:v>25.399999999999899</c:v>
                </c:pt>
                <c:pt idx="255">
                  <c:v>25.499999999999901</c:v>
                </c:pt>
                <c:pt idx="256">
                  <c:v>25.599999999999898</c:v>
                </c:pt>
                <c:pt idx="257">
                  <c:v>25.6999999999999</c:v>
                </c:pt>
                <c:pt idx="258">
                  <c:v>25.799999999999901</c:v>
                </c:pt>
                <c:pt idx="259">
                  <c:v>25.899999999999899</c:v>
                </c:pt>
                <c:pt idx="260">
                  <c:v>25.999999999999901</c:v>
                </c:pt>
                <c:pt idx="261">
                  <c:v>26.099999999999898</c:v>
                </c:pt>
                <c:pt idx="262">
                  <c:v>26.1999999999999</c:v>
                </c:pt>
                <c:pt idx="263">
                  <c:v>26.299999999999901</c:v>
                </c:pt>
                <c:pt idx="264">
                  <c:v>26.399999999999899</c:v>
                </c:pt>
                <c:pt idx="265">
                  <c:v>26.499999999999901</c:v>
                </c:pt>
                <c:pt idx="266">
                  <c:v>26.599999999999898</c:v>
                </c:pt>
                <c:pt idx="267">
                  <c:v>26.6999999999999</c:v>
                </c:pt>
                <c:pt idx="268">
                  <c:v>26.799999999999901</c:v>
                </c:pt>
                <c:pt idx="269">
                  <c:v>26.899999999999899</c:v>
                </c:pt>
                <c:pt idx="270">
                  <c:v>26.999999999999901</c:v>
                </c:pt>
                <c:pt idx="271">
                  <c:v>27.099999999999898</c:v>
                </c:pt>
                <c:pt idx="272">
                  <c:v>27.1999999999999</c:v>
                </c:pt>
                <c:pt idx="273">
                  <c:v>27.299999999999901</c:v>
                </c:pt>
                <c:pt idx="274">
                  <c:v>27.399999999999899</c:v>
                </c:pt>
                <c:pt idx="275">
                  <c:v>27.499999999999901</c:v>
                </c:pt>
                <c:pt idx="276">
                  <c:v>27.599999999999898</c:v>
                </c:pt>
                <c:pt idx="277">
                  <c:v>27.6999999999999</c:v>
                </c:pt>
                <c:pt idx="278">
                  <c:v>27.799999999999901</c:v>
                </c:pt>
                <c:pt idx="279">
                  <c:v>27.899999999999899</c:v>
                </c:pt>
                <c:pt idx="280">
                  <c:v>27.999999999999901</c:v>
                </c:pt>
                <c:pt idx="281">
                  <c:v>28.099999999999898</c:v>
                </c:pt>
                <c:pt idx="282">
                  <c:v>28.1999999999999</c:v>
                </c:pt>
                <c:pt idx="283">
                  <c:v>28.299999999999901</c:v>
                </c:pt>
              </c:numCache>
            </c:numRef>
          </c:xVal>
          <c:yVal>
            <c:numRef>
              <c:f>Sheet2!$C$1:$C$284</c:f>
              <c:numCache>
                <c:formatCode>General</c:formatCode>
                <c:ptCount val="284"/>
                <c:pt idx="0">
                  <c:v>0.70710678118654757</c:v>
                </c:pt>
                <c:pt idx="1">
                  <c:v>0.63898973770220036</c:v>
                </c:pt>
                <c:pt idx="2">
                  <c:v>0.57583500674809851</c:v>
                </c:pt>
                <c:pt idx="3">
                  <c:v>0.51732057973878309</c:v>
                </c:pt>
                <c:pt idx="4">
                  <c:v>0.46314405397392788</c:v>
                </c:pt>
                <c:pt idx="5">
                  <c:v>0.41302148617738788</c:v>
                </c:pt>
                <c:pt idx="6">
                  <c:v>0.36668631122941647</c:v>
                </c:pt>
                <c:pt idx="7">
                  <c:v>0.32388832245997273</c:v>
                </c:pt>
                <c:pt idx="8">
                  <c:v>0.28439271007024758</c:v>
                </c:pt>
                <c:pt idx="9">
                  <c:v>0.24797915443796006</c:v>
                </c:pt>
                <c:pt idx="10">
                  <c:v>0.21444097124017672</c:v>
                </c:pt>
                <c:pt idx="11">
                  <c:v>0.18358430549595067</c:v>
                </c:pt>
                <c:pt idx="12">
                  <c:v>0.155227371790468</c:v>
                </c:pt>
                <c:pt idx="13">
                  <c:v>0.12919973809312957</c:v>
                </c:pt>
                <c:pt idx="14">
                  <c:v>0.10534165072454627</c:v>
                </c:pt>
                <c:pt idx="15">
                  <c:v>8.3503398162221118E-2</c:v>
                </c:pt>
                <c:pt idx="16">
                  <c:v>6.3544711502162843E-2</c:v>
                </c:pt>
                <c:pt idx="17">
                  <c:v>4.5334199514199723E-2</c:v>
                </c:pt>
                <c:pt idx="18">
                  <c:v>2.8748816342728484E-2</c:v>
                </c:pt>
                <c:pt idx="19">
                  <c:v>1.3673360012385186E-2</c:v>
                </c:pt>
                <c:pt idx="20">
                  <c:v>0</c:v>
                </c:pt>
                <c:pt idx="21">
                  <c:v>-1.2372167769482747E-2</c:v>
                </c:pt>
                <c:pt idx="22">
                  <c:v>-2.3537540054382713E-2</c:v>
                </c:pt>
                <c:pt idx="23">
                  <c:v>-3.3584401020139411E-2</c:v>
                </c:pt>
                <c:pt idx="24">
                  <c:v>-4.2595293939451218E-2</c:v>
                </c:pt>
                <c:pt idx="25">
                  <c:v>-5.0647371175578673E-2</c:v>
                </c:pt>
                <c:pt idx="26">
                  <c:v>-5.7812723682983715E-2</c:v>
                </c:pt>
                <c:pt idx="27">
                  <c:v>-6.4158691190747297E-2</c:v>
                </c:pt>
                <c:pt idx="28">
                  <c:v>-6.9748154169249788E-2</c:v>
                </c:pt>
                <c:pt idx="29">
                  <c:v>-7.4639808619202871E-2</c:v>
                </c:pt>
                <c:pt idx="30">
                  <c:v>-7.888842466409754E-2</c:v>
                </c:pt>
                <c:pt idx="31">
                  <c:v>-8.2545089872297181E-2</c:v>
                </c:pt>
                <c:pt idx="32">
                  <c:v>-8.565743818318361E-2</c:v>
                </c:pt>
                <c:pt idx="33">
                  <c:v>-8.8269865262794817E-2</c:v>
                </c:pt>
                <c:pt idx="34">
                  <c:v>-9.0423731068121113E-2</c:v>
                </c:pt>
                <c:pt idx="35">
                  <c:v>-9.2157550355503062E-2</c:v>
                </c:pt>
                <c:pt idx="36">
                  <c:v>-9.3507171827264784E-2</c:v>
                </c:pt>
                <c:pt idx="37">
                  <c:v>-9.4505946571684624E-2</c:v>
                </c:pt>
                <c:pt idx="38">
                  <c:v>-9.5184886414530462E-2</c:v>
                </c:pt>
                <c:pt idx="39">
                  <c:v>-9.5572812765551865E-2</c:v>
                </c:pt>
                <c:pt idx="40">
                  <c:v>-9.5696496510410942E-2</c:v>
                </c:pt>
                <c:pt idx="41">
                  <c:v>-9.5580789467449412E-2</c:v>
                </c:pt>
                <c:pt idx="42">
                  <c:v>-9.5248747899324193E-2</c:v>
                </c:pt>
                <c:pt idx="43">
                  <c:v>-9.4721748541809897E-2</c:v>
                </c:pt>
                <c:pt idx="44">
                  <c:v>-9.4019597585871847E-2</c:v>
                </c:pt>
                <c:pt idx="45">
                  <c:v>-9.3160633024372483E-2</c:v>
                </c:pt>
                <c:pt idx="46">
                  <c:v>-9.216182075141191E-2</c:v>
                </c:pt>
                <c:pt idx="47">
                  <c:v>-9.1038844780238257E-2</c:v>
                </c:pt>
                <c:pt idx="48">
                  <c:v>-8.9806191924831275E-2</c:v>
                </c:pt>
                <c:pt idx="49">
                  <c:v>-8.8477231270588555E-2</c:v>
                </c:pt>
                <c:pt idx="50">
                  <c:v>-8.7064288740970899E-2</c:v>
                </c:pt>
                <c:pt idx="51">
                  <c:v>-8.5578717049425684E-2</c:v>
                </c:pt>
                <c:pt idx="52">
                  <c:v>-8.4030961309351865E-2</c:v>
                </c:pt>
                <c:pt idx="53">
                  <c:v>-8.2430620559240803E-2</c:v>
                </c:pt>
                <c:pt idx="54">
                  <c:v>-8.0786505445373163E-2</c:v>
                </c:pt>
                <c:pt idx="55">
                  <c:v>-7.9106692290527039E-2</c:v>
                </c:pt>
                <c:pt idx="56">
                  <c:v>-7.7398573764006634E-2</c:v>
                </c:pt>
                <c:pt idx="57">
                  <c:v>-7.5668906355898541E-2</c:v>
                </c:pt>
                <c:pt idx="58">
                  <c:v>-7.3923854846750056E-2</c:v>
                </c:pt>
                <c:pt idx="59">
                  <c:v>-7.2169033952820719E-2</c:v>
                </c:pt>
                <c:pt idx="60">
                  <c:v>-7.0409547316629878E-2</c:v>
                </c:pt>
                <c:pt idx="61">
                  <c:v>-6.8650024002687479E-2</c:v>
                </c:pt>
                <c:pt idx="62">
                  <c:v>-6.6894652649013106E-2</c:v>
                </c:pt>
                <c:pt idx="63">
                  <c:v>-6.514721341629344E-2</c:v>
                </c:pt>
                <c:pt idx="64">
                  <c:v>-6.341110786826662E-2</c:v>
                </c:pt>
                <c:pt idx="65">
                  <c:v>-6.1689386909131304E-2</c:v>
                </c:pt>
                <c:pt idx="66">
                  <c:v>-5.9984776896427644E-2</c:v>
                </c:pt>
                <c:pt idx="67">
                  <c:v>-5.829970404090546E-2</c:v>
                </c:pt>
                <c:pt idx="68">
                  <c:v>-5.6636317198358266E-2</c:v>
                </c:pt>
                <c:pt idx="69">
                  <c:v>-5.4996509152234946E-2</c:v>
                </c:pt>
                <c:pt idx="70">
                  <c:v>-5.3381936480029271E-2</c:v>
                </c:pt>
                <c:pt idx="71">
                  <c:v>-5.1794038090964563E-2</c:v>
                </c:pt>
                <c:pt idx="72">
                  <c:v>-5.0234052517323262E-2</c:v>
                </c:pt>
                <c:pt idx="73">
                  <c:v>-4.8703034036899594E-2</c:v>
                </c:pt>
                <c:pt idx="74">
                  <c:v>-4.7201867699459804E-2</c:v>
                </c:pt>
                <c:pt idx="75">
                  <c:v>-4.5731283325766273E-2</c:v>
                </c:pt>
                <c:pt idx="76">
                  <c:v>-4.4291868543641359E-2</c:v>
                </c:pt>
                <c:pt idx="77">
                  <c:v>-4.28840809217012E-2</c:v>
                </c:pt>
                <c:pt idx="78">
                  <c:v>-4.1508259257767181E-2</c:v>
                </c:pt>
                <c:pt idx="79">
                  <c:v>-4.0164634075547351E-2</c:v>
                </c:pt>
                <c:pt idx="80">
                  <c:v>-3.8853337379964069E-2</c:v>
                </c:pt>
                <c:pt idx="81">
                  <c:v>-3.757441171847322E-2</c:v>
                </c:pt>
                <c:pt idx="82">
                  <c:v>-3.6327818592865616E-2</c:v>
                </c:pt>
                <c:pt idx="83">
                  <c:v>-3.5113446263352513E-2</c:v>
                </c:pt>
                <c:pt idx="84">
                  <c:v>-3.3931116984203723E-2</c:v>
                </c:pt>
                <c:pt idx="85">
                  <c:v>-3.2780593707824747E-2</c:v>
                </c:pt>
                <c:pt idx="86">
                  <c:v>-3.1661586291908725E-2</c:v>
                </c:pt>
                <c:pt idx="87">
                  <c:v>-3.0573757242190098E-2</c:v>
                </c:pt>
                <c:pt idx="88">
                  <c:v>-2.9516727021332626E-2</c:v>
                </c:pt>
                <c:pt idx="89">
                  <c:v>-2.849007895261229E-2</c:v>
                </c:pt>
                <c:pt idx="90">
                  <c:v>-2.7493363745291752E-2</c:v>
                </c:pt>
                <c:pt idx="91">
                  <c:v>-2.6526103666922998E-2</c:v>
                </c:pt>
                <c:pt idx="92">
                  <c:v>-2.5587796386253636E-2</c:v>
                </c:pt>
                <c:pt idx="93">
                  <c:v>-2.4677918508942187E-2</c:v>
                </c:pt>
                <c:pt idx="94">
                  <c:v>-2.3795928826905576E-2</c:v>
                </c:pt>
                <c:pt idx="95">
                  <c:v>-2.2941271300821638E-2</c:v>
                </c:pt>
                <c:pt idx="96">
                  <c:v>-2.2113377794085919E-2</c:v>
                </c:pt>
                <c:pt idx="97">
                  <c:v>-2.1311670575372525E-2</c:v>
                </c:pt>
                <c:pt idx="98">
                  <c:v>-2.0535564605866391E-2</c:v>
                </c:pt>
                <c:pt idx="99">
                  <c:v>-1.9784469626218017E-2</c:v>
                </c:pt>
                <c:pt idx="100">
                  <c:v>-1.9057792057315667E-2</c:v>
                </c:pt>
                <c:pt idx="101">
                  <c:v>-1.8354936728071213E-2</c:v>
                </c:pt>
                <c:pt idx="102">
                  <c:v>-1.7675308442572795E-2</c:v>
                </c:pt>
                <c:pt idx="103">
                  <c:v>-1.7018313398160893E-2</c:v>
                </c:pt>
                <c:pt idx="104">
                  <c:v>-1.6383360465243999E-2</c:v>
                </c:pt>
                <c:pt idx="105">
                  <c:v>-1.5769862338964918E-2</c:v>
                </c:pt>
                <c:pt idx="106">
                  <c:v>-1.5177236572174367E-2</c:v>
                </c:pt>
                <c:pt idx="107">
                  <c:v>-1.4604906498549694E-2</c:v>
                </c:pt>
                <c:pt idx="108">
                  <c:v>-1.405230205411712E-2</c:v>
                </c:pt>
                <c:pt idx="109">
                  <c:v>-1.3518860504891761E-2</c:v>
                </c:pt>
                <c:pt idx="110">
                  <c:v>-1.3004027087838495E-2</c:v>
                </c:pt>
                <c:pt idx="111">
                  <c:v>-1.2507255571878047E-2</c:v>
                </c:pt>
                <c:pt idx="112">
                  <c:v>-1.2028008745212341E-2</c:v>
                </c:pt>
                <c:pt idx="113">
                  <c:v>-1.1565758834821775E-2</c:v>
                </c:pt>
                <c:pt idx="114">
                  <c:v>-1.1119987863591262E-2</c:v>
                </c:pt>
                <c:pt idx="115">
                  <c:v>-1.0690187950150956E-2</c:v>
                </c:pt>
                <c:pt idx="116">
                  <c:v>-1.0275861556170001E-2</c:v>
                </c:pt>
                <c:pt idx="117">
                  <c:v>-9.8765216855154839E-3</c:v>
                </c:pt>
                <c:pt idx="118">
                  <c:v>-9.4916920393835844E-3</c:v>
                </c:pt>
                <c:pt idx="119">
                  <c:v>-9.1209071312237221E-3</c:v>
                </c:pt>
                <c:pt idx="120">
                  <c:v>-8.7637123650084869E-3</c:v>
                </c:pt>
                <c:pt idx="121">
                  <c:v>-8.4196640801513841E-3</c:v>
                </c:pt>
                <c:pt idx="122">
                  <c:v>-8.0883295661393767E-3</c:v>
                </c:pt>
                <c:pt idx="123">
                  <c:v>-7.7692870497274406E-3</c:v>
                </c:pt>
                <c:pt idx="124">
                  <c:v>-7.4621256573367068E-3</c:v>
                </c:pt>
                <c:pt idx="125">
                  <c:v>-7.1664453551052209E-3</c:v>
                </c:pt>
                <c:pt idx="126">
                  <c:v>-6.8818568688606748E-3</c:v>
                </c:pt>
                <c:pt idx="127">
                  <c:v>-6.6079815861160478E-3</c:v>
                </c:pt>
                <c:pt idx="128">
                  <c:v>-6.3444514420320352E-3</c:v>
                </c:pt>
                <c:pt idx="129">
                  <c:v>-6.0909087911433114E-3</c:v>
                </c:pt>
                <c:pt idx="130">
                  <c:v>-5.8470062665083953E-3</c:v>
                </c:pt>
                <c:pt idx="131">
                  <c:v>-5.612406627815059E-3</c:v>
                </c:pt>
                <c:pt idx="132">
                  <c:v>-5.3867825998534895E-3</c:v>
                </c:pt>
                <c:pt idx="133">
                  <c:v>-5.1698167026581017E-3</c:v>
                </c:pt>
                <c:pt idx="134">
                  <c:v>-4.9612010745148276E-3</c:v>
                </c:pt>
                <c:pt idx="135">
                  <c:v>-4.7606372889337934E-3</c:v>
                </c:pt>
                <c:pt idx="136">
                  <c:v>-4.567836166597037E-3</c:v>
                </c:pt>
                <c:pt idx="137">
                  <c:v>-4.3825175832067319E-3</c:v>
                </c:pt>
                <c:pt idx="138">
                  <c:v>-4.2044102740810569E-3</c:v>
                </c:pt>
                <c:pt idx="139">
                  <c:v>-4.0332516362720557E-3</c:v>
                </c:pt>
                <c:pt idx="140">
                  <c:v>-3.8687875289118976E-3</c:v>
                </c:pt>
                <c:pt idx="141">
                  <c:v>-3.7107720724310908E-3</c:v>
                </c:pt>
                <c:pt idx="142">
                  <c:v>-3.5589674472335355E-3</c:v>
                </c:pt>
                <c:pt idx="143">
                  <c:v>-3.413143692358964E-3</c:v>
                </c:pt>
                <c:pt idx="144">
                  <c:v>-3.2730785046128992E-3</c:v>
                </c:pt>
                <c:pt idx="145">
                  <c:v>-3.1385570385973655E-3</c:v>
                </c:pt>
                <c:pt idx="146">
                  <c:v>-3.0093717080323388E-3</c:v>
                </c:pt>
                <c:pt idx="147">
                  <c:v>-2.885321988717637E-3</c:v>
                </c:pt>
                <c:pt idx="148">
                  <c:v>-2.7662142234478179E-3</c:v>
                </c:pt>
                <c:pt idx="149">
                  <c:v>-2.6518614291582698E-3</c:v>
                </c:pt>
                <c:pt idx="150">
                  <c:v>-2.542083106548854E-3</c:v>
                </c:pt>
                <c:pt idx="151">
                  <c:v>-2.4367050524021884E-3</c:v>
                </c:pt>
                <c:pt idx="152">
                  <c:v>-2.3355591747865347E-3</c:v>
                </c:pt>
                <c:pt idx="153">
                  <c:v>-2.2384833113083414E-3</c:v>
                </c:pt>
                <c:pt idx="154">
                  <c:v>-2.145321050556529E-3</c:v>
                </c:pt>
                <c:pt idx="155">
                  <c:v>-2.0559215568594844E-3</c:v>
                </c:pt>
                <c:pt idx="156">
                  <c:v>-1.9701393984563565E-3</c:v>
                </c:pt>
                <c:pt idx="157">
                  <c:v>-1.8878343791664395E-3</c:v>
                </c:pt>
                <c:pt idx="158">
                  <c:v>-1.80887137362414E-3</c:v>
                </c:pt>
                <c:pt idx="159">
                  <c:v>-1.7331201661321353E-3</c:v>
                </c:pt>
                <c:pt idx="160">
                  <c:v>-1.6604552931716796E-3</c:v>
                </c:pt>
                <c:pt idx="161">
                  <c:v>-1.5907558895966664E-3</c:v>
                </c:pt>
                <c:pt idx="162">
                  <c:v>-1.523905538526714E-3</c:v>
                </c:pt>
                <c:pt idx="163">
                  <c:v>-1.4597921249442881E-3</c:v>
                </c:pt>
                <c:pt idx="164">
                  <c:v>-1.3983076929916505E-3</c:v>
                </c:pt>
                <c:pt idx="165">
                  <c:v>-1.3393483069549191E-3</c:v>
                </c:pt>
                <c:pt idx="166">
                  <c:v>-1.2828139159150823E-3</c:v>
                </c:pt>
                <c:pt idx="167">
                  <c:v>-1.2286082220389015E-3</c:v>
                </c:pt>
                <c:pt idx="168">
                  <c:v>-1.1766385524766157E-3</c:v>
                </c:pt>
                <c:pt idx="169">
                  <c:v>-1.1268157348279402E-3</c:v>
                </c:pt>
                <c:pt idx="170">
                  <c:v>-1.0790539761329496E-3</c:v>
                </c:pt>
                <c:pt idx="171">
                  <c:v>-1.0332707453402999E-3</c:v>
                </c:pt>
                <c:pt idx="172">
                  <c:v>-9.8938665920138215E-4</c:v>
                </c:pt>
                <c:pt idx="173">
                  <c:v>-9.4732537153581953E-4</c:v>
                </c:pt>
                <c:pt idx="174">
                  <c:v>-9.0701346581088436E-4</c:v>
                </c:pt>
                <c:pt idx="175">
                  <c:v>-8.6838035097494277E-4</c:v>
                </c:pt>
                <c:pt idx="176">
                  <c:v>-8.3135816048307792E-4</c:v>
                </c:pt>
                <c:pt idx="177">
                  <c:v>-7.958816544512546E-4</c:v>
                </c:pt>
                <c:pt idx="178">
                  <c:v>-7.618881248740517E-4</c:v>
                </c:pt>
                <c:pt idx="179">
                  <c:v>-7.2931730383988484E-4</c:v>
                </c:pt>
                <c:pt idx="180">
                  <c:v>-6.9811127467675547E-4</c:v>
                </c:pt>
                <c:pt idx="181">
                  <c:v>-6.6821438596106105E-4</c:v>
                </c:pt>
                <c:pt idx="182">
                  <c:v>-6.3957316832133977E-4</c:v>
                </c:pt>
                <c:pt idx="183">
                  <c:v>-6.1213625396932213E-4</c:v>
                </c:pt>
                <c:pt idx="184">
                  <c:v>-5.8585429888956394E-4</c:v>
                </c:pt>
                <c:pt idx="185">
                  <c:v>-5.6067990762017174E-4</c:v>
                </c:pt>
                <c:pt idx="186">
                  <c:v>-5.3656756055679938E-4</c:v>
                </c:pt>
                <c:pt idx="187">
                  <c:v>-5.1347354371271523E-4</c:v>
                </c:pt>
                <c:pt idx="188">
                  <c:v>-4.9135588086830892E-4</c:v>
                </c:pt>
                <c:pt idx="189">
                  <c:v>-4.7017426804401885E-4</c:v>
                </c:pt>
                <c:pt idx="190">
                  <c:v>-4.4989001023144708E-4</c:v>
                </c:pt>
                <c:pt idx="191">
                  <c:v>-4.3046596031826295E-4</c:v>
                </c:pt>
                <c:pt idx="192">
                  <c:v>-4.1186646014338232E-4</c:v>
                </c:pt>
                <c:pt idx="193">
                  <c:v>-3.9405728361992476E-4</c:v>
                </c:pt>
                <c:pt idx="194">
                  <c:v>-3.7700558186444343E-4</c:v>
                </c:pt>
                <c:pt idx="195">
                  <c:v>-3.6067983027202559E-4</c:v>
                </c:pt>
                <c:pt idx="196">
                  <c:v>-3.4504977747798113E-4</c:v>
                </c:pt>
                <c:pt idx="197">
                  <c:v>-3.3008639614797065E-4</c:v>
                </c:pt>
                <c:pt idx="198">
                  <c:v>-3.1576183553963869E-4</c:v>
                </c:pt>
                <c:pt idx="199">
                  <c:v>-3.0204937577999505E-4</c:v>
                </c:pt>
                <c:pt idx="200">
                  <c:v>-2.8892338380402682E-4</c:v>
                </c:pt>
                <c:pt idx="201">
                  <c:v>-2.7635927090126307E-4</c:v>
                </c:pt>
                <c:pt idx="202">
                  <c:v>-2.6433345181824217E-4</c:v>
                </c:pt>
                <c:pt idx="203">
                  <c:v>-2.5282330536610827E-4</c:v>
                </c:pt>
                <c:pt idx="204">
                  <c:v>-2.4180713648379228E-4</c:v>
                </c:pt>
                <c:pt idx="205">
                  <c:v>-2.3126413970849996E-4</c:v>
                </c:pt>
                <c:pt idx="206">
                  <c:v>-2.2117436400647514E-4</c:v>
                </c:pt>
                <c:pt idx="207">
                  <c:v>-2.1151867891823468E-4</c:v>
                </c:pt>
                <c:pt idx="208">
                  <c:v>-2.0227874197372293E-4</c:v>
                </c:pt>
                <c:pt idx="209">
                  <c:v>-1.9343696733403347E-4</c:v>
                </c:pt>
                <c:pt idx="210">
                  <c:v>-1.849764956175663E-4</c:v>
                </c:pt>
                <c:pt idx="211">
                  <c:v>-1.7688116486968007E-4</c:v>
                </c:pt>
                <c:pt idx="212">
                  <c:v>-1.6913548263606444E-4</c:v>
                </c:pt>
                <c:pt idx="213">
                  <c:v>-1.6172459910123395E-4</c:v>
                </c:pt>
                <c:pt idx="214">
                  <c:v>-1.5463428125466876E-4</c:v>
                </c:pt>
                <c:pt idx="215">
                  <c:v>-1.4785088804825878E-4</c:v>
                </c:pt>
                <c:pt idx="216">
                  <c:v>-1.4136134650980872E-4</c:v>
                </c:pt>
                <c:pt idx="217">
                  <c:v>-1.3515312877843239E-4</c:v>
                </c:pt>
                <c:pt idx="218">
                  <c:v>-1.2921423002873629E-4</c:v>
                </c:pt>
                <c:pt idx="219">
                  <c:v>-1.235331472517173E-4</c:v>
                </c:pt>
                <c:pt idx="220">
                  <c:v>-1.1809885886131955E-4</c:v>
                </c:pt>
                <c:pt idx="221">
                  <c:v>-1.1290080509658838E-4</c:v>
                </c:pt>
                <c:pt idx="222">
                  <c:v>-1.0792886919032033E-4</c:v>
                </c:pt>
                <c:pt idx="223">
                  <c:v>-1.0317335927606435E-4</c:v>
                </c:pt>
                <c:pt idx="224">
                  <c:v>-9.8624991006242084E-5</c:v>
                </c:pt>
                <c:pt idx="225">
                  <c:v>-9.4274870855060874E-5</c:v>
                </c:pt>
                <c:pt idx="226">
                  <c:v>-9.0114480080769692E-5</c:v>
                </c:pt>
                <c:pt idx="227">
                  <c:v>-8.6135659322656273E-5</c:v>
                </c:pt>
                <c:pt idx="228">
                  <c:v>-8.233059380902324E-5</c:v>
                </c:pt>
                <c:pt idx="229">
                  <c:v>-7.8691799153181207E-5</c:v>
                </c:pt>
                <c:pt idx="230">
                  <c:v>-7.5212107715288618E-5</c:v>
                </c:pt>
                <c:pt idx="231">
                  <c:v>-7.1884655508630725E-5</c:v>
                </c:pt>
                <c:pt idx="232">
                  <c:v>-6.8702869629669417E-5</c:v>
                </c:pt>
                <c:pt idx="233">
                  <c:v>-6.5660456191922242E-5</c:v>
                </c:pt>
                <c:pt idx="234">
                  <c:v>-6.275138874442193E-5</c:v>
                </c:pt>
                <c:pt idx="235">
                  <c:v>-5.9969897156191861E-5</c:v>
                </c:pt>
                <c:pt idx="236">
                  <c:v>-5.7310456948829353E-5</c:v>
                </c:pt>
                <c:pt idx="237">
                  <c:v>-5.476777905992503E-5</c:v>
                </c:pt>
                <c:pt idx="238">
                  <c:v>-5.2336800020669701E-5</c:v>
                </c:pt>
                <c:pt idx="239">
                  <c:v>-5.0012672531594835E-5</c:v>
                </c:pt>
                <c:pt idx="240">
                  <c:v>-4.7790756420976021E-5</c:v>
                </c:pt>
                <c:pt idx="241">
                  <c:v>-4.5666609970991502E-5</c:v>
                </c:pt>
                <c:pt idx="242">
                  <c:v>-4.3635981597268161E-5</c:v>
                </c:pt>
                <c:pt idx="243">
                  <c:v>-4.1694801867979119E-5</c:v>
                </c:pt>
                <c:pt idx="244">
                  <c:v>-3.9839175849161434E-5</c:v>
                </c:pt>
                <c:pt idx="245">
                  <c:v>-3.8065375763417963E-5</c:v>
                </c:pt>
                <c:pt idx="246">
                  <c:v>-3.6369833949643266E-5</c:v>
                </c:pt>
                <c:pt idx="247">
                  <c:v>-3.4749136111871627E-5</c:v>
                </c:pt>
                <c:pt idx="248">
                  <c:v>-3.3200014845793452E-5</c:v>
                </c:pt>
                <c:pt idx="249">
                  <c:v>-3.1719343431912539E-5</c:v>
                </c:pt>
                <c:pt idx="250">
                  <c:v>-3.0304129884734021E-5</c:v>
                </c:pt>
                <c:pt idx="251">
                  <c:v>-2.8951511247773284E-5</c:v>
                </c:pt>
                <c:pt idx="252">
                  <c:v>-2.7658748124561526E-5</c:v>
                </c:pt>
                <c:pt idx="253">
                  <c:v>-2.6423219436199508E-5</c:v>
                </c:pt>
                <c:pt idx="254">
                  <c:v>-2.5242417396369122E-5</c:v>
                </c:pt>
                <c:pt idx="255">
                  <c:v>-2.4113942695061645E-5</c:v>
                </c:pt>
                <c:pt idx="256">
                  <c:v>-2.3035499882616775E-5</c:v>
                </c:pt>
                <c:pt idx="257">
                  <c:v>-2.2004892945988945E-5</c:v>
                </c:pt>
                <c:pt idx="258">
                  <c:v>-2.1020021069471155E-5</c:v>
                </c:pt>
                <c:pt idx="259">
                  <c:v>-2.0078874572405554E-5</c:v>
                </c:pt>
                <c:pt idx="260">
                  <c:v>-1.9179531016700931E-5</c:v>
                </c:pt>
                <c:pt idx="261">
                  <c:v>-1.8320151477256747E-5</c:v>
                </c:pt>
                <c:pt idx="262">
                  <c:v>-1.749897696866138E-5</c:v>
                </c:pt>
                <c:pt idx="263">
                  <c:v>-1.671432502179336E-5</c:v>
                </c:pt>
                <c:pt idx="264">
                  <c:v>-1.5964586404202508E-5</c:v>
                </c:pt>
                <c:pt idx="265">
                  <c:v>-1.5248221978389585E-5</c:v>
                </c:pt>
                <c:pt idx="266">
                  <c:v>-1.4563759692334772E-5</c:v>
                </c:pt>
                <c:pt idx="267">
                  <c:v>-1.3909791696847374E-5</c:v>
                </c:pt>
                <c:pt idx="268">
                  <c:v>-1.3284971584525499E-5</c:v>
                </c:pt>
                <c:pt idx="269">
                  <c:v>-1.2688011745319674E-5</c:v>
                </c:pt>
                <c:pt idx="270">
                  <c:v>-1.2117680833894304E-5</c:v>
                </c:pt>
                <c:pt idx="271">
                  <c:v>-1.1572801344172256E-5</c:v>
                </c:pt>
                <c:pt idx="272">
                  <c:v>-1.1052247286631356E-5</c:v>
                </c:pt>
                <c:pt idx="273">
                  <c:v>-1.0554941964099941E-5</c:v>
                </c:pt>
                <c:pt idx="274">
                  <c:v>-1.0079855841968004E-5</c:v>
                </c:pt>
                <c:pt idx="275">
                  <c:v>-9.6260045088951636E-6</c:v>
                </c:pt>
                <c:pt idx="276">
                  <c:v>-9.1924467242542521E-6</c:v>
                </c:pt>
                <c:pt idx="277">
                  <c:v>-8.7782825487004735E-6</c:v>
                </c:pt>
                <c:pt idx="278">
                  <c:v>-8.3826515544026909E-6</c:v>
                </c:pt>
                <c:pt idx="279">
                  <c:v>-8.004731111612728E-6</c:v>
                </c:pt>
                <c:pt idx="280">
                  <c:v>-7.6437347483838097E-6</c:v>
                </c:pt>
                <c:pt idx="281">
                  <c:v>-7.2989105803787139E-6</c:v>
                </c:pt>
                <c:pt idx="282">
                  <c:v>-6.9695398078322709E-6</c:v>
                </c:pt>
                <c:pt idx="283">
                  <c:v>-6.6549352768529936E-6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E-497C-9248-7ED5A931E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646224"/>
        <c:axId val="362177264"/>
      </c:scatterChart>
      <c:valAx>
        <c:axId val="35664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177264"/>
        <c:crosses val="autoZero"/>
        <c:crossBetween val="midCat"/>
      </c:valAx>
      <c:valAx>
        <c:axId val="3621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4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75</xdr:row>
      <xdr:rowOff>19050</xdr:rowOff>
    </xdr:from>
    <xdr:to>
      <xdr:col>16</xdr:col>
      <xdr:colOff>409575</xdr:colOff>
      <xdr:row>98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195262</xdr:colOff>
      <xdr:row>4</xdr:row>
      <xdr:rowOff>123825</xdr:rowOff>
    </xdr:from>
    <xdr:to>
      <xdr:col>13</xdr:col>
      <xdr:colOff>500062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1126E0-293F-4347-997E-476B5EA86D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142875</xdr:colOff>
      <xdr:row>22</xdr:row>
      <xdr:rowOff>57150</xdr:rowOff>
    </xdr:from>
    <xdr:to>
      <xdr:col>9</xdr:col>
      <xdr:colOff>495300</xdr:colOff>
      <xdr:row>36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08ED7A-73CD-4588-B52B-6952BAF73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24"/>
  <sheetViews>
    <sheetView tabSelected="1" topLeftCell="D75" workbookViewId="0">
      <selection activeCell="F82" sqref="F82"/>
    </sheetView>
  </sheetViews>
  <sheetFormatPr defaultRowHeight="15" x14ac:dyDescent="0.25"/>
  <cols>
    <col min="1" max="1" width="12.7109375" bestFit="1" customWidth="1"/>
    <col min="2" max="18" width="12" bestFit="1" customWidth="1"/>
    <col min="20" max="20" width="12" bestFit="1" customWidth="1"/>
    <col min="22" max="23" width="16.7109375" bestFit="1" customWidth="1"/>
    <col min="24" max="27" width="17" bestFit="1" customWidth="1"/>
  </cols>
  <sheetData>
    <row r="1" spans="1:17" x14ac:dyDescent="0.25">
      <c r="C1" s="5" t="s">
        <v>12</v>
      </c>
      <c r="D1" s="5" t="s">
        <v>13</v>
      </c>
      <c r="E1" s="5" t="s">
        <v>14</v>
      </c>
      <c r="F1" s="5" t="s">
        <v>15</v>
      </c>
      <c r="G1" s="5" t="s">
        <v>16</v>
      </c>
      <c r="H1" s="5" t="s">
        <v>17</v>
      </c>
      <c r="L1" s="5" t="s">
        <v>18</v>
      </c>
      <c r="M1" s="5" t="s">
        <v>19</v>
      </c>
      <c r="N1" s="5" t="s">
        <v>20</v>
      </c>
      <c r="O1" s="5" t="s">
        <v>21</v>
      </c>
      <c r="P1" s="5" t="s">
        <v>22</v>
      </c>
      <c r="Q1" s="5" t="s">
        <v>23</v>
      </c>
    </row>
    <row r="2" spans="1:17" x14ac:dyDescent="0.25">
      <c r="C2" s="5">
        <f t="shared" ref="C2:H2" si="0">K15</f>
        <v>9.1635962810000006E-3</v>
      </c>
      <c r="D2" s="5">
        <f t="shared" si="0"/>
        <v>4.9361492940000001E-2</v>
      </c>
      <c r="E2" s="5">
        <f t="shared" si="0"/>
        <v>0.16853830489999999</v>
      </c>
      <c r="F2" s="5">
        <f t="shared" si="0"/>
        <v>0.3705627997</v>
      </c>
      <c r="G2" s="5">
        <f t="shared" si="0"/>
        <v>0.41649152979999998</v>
      </c>
      <c r="H2" s="5">
        <f t="shared" si="0"/>
        <v>0.1303340841</v>
      </c>
      <c r="L2" s="5">
        <f t="shared" ref="L2:Q2" si="1">K14</f>
        <v>746.68205479999995</v>
      </c>
      <c r="M2" s="5">
        <f t="shared" si="1"/>
        <v>136.9033374</v>
      </c>
      <c r="N2" s="5">
        <f t="shared" si="1"/>
        <v>38.300620289999998</v>
      </c>
      <c r="O2" s="5">
        <f t="shared" si="1"/>
        <v>13.157296779999999</v>
      </c>
      <c r="P2" s="5">
        <f t="shared" si="1"/>
        <v>5.1093633609999998</v>
      </c>
      <c r="Q2" s="5">
        <f t="shared" si="1"/>
        <v>2.1043179890000001</v>
      </c>
    </row>
    <row r="3" spans="1:17" x14ac:dyDescent="0.25">
      <c r="A3" s="5" t="s">
        <v>12</v>
      </c>
      <c r="B3" s="5">
        <f>K15</f>
        <v>9.1635962810000006E-3</v>
      </c>
      <c r="C3" s="1">
        <f>C$2*$B3</f>
        <v>8.3971496801157043E-5</v>
      </c>
      <c r="D3" s="1">
        <f t="shared" ref="D3:H8" si="2">D$2*$B3</f>
        <v>4.5232879312959178E-4</v>
      </c>
      <c r="E3" s="1">
        <f>E$2*$B3</f>
        <v>1.5444169839876841E-3</v>
      </c>
      <c r="F3" s="1">
        <f t="shared" si="2"/>
        <v>3.395687893207868E-3</v>
      </c>
      <c r="G3" s="1">
        <f t="shared" si="2"/>
        <v>3.8165602335432807E-3</v>
      </c>
      <c r="H3" s="1">
        <f t="shared" si="2"/>
        <v>1.1943289283463012E-3</v>
      </c>
      <c r="J3" s="5" t="s">
        <v>18</v>
      </c>
      <c r="K3" s="5">
        <f>K14</f>
        <v>746.68205479999995</v>
      </c>
      <c r="L3" s="1">
        <f t="shared" ref="L3:Q8" si="3">L$2*$K3/(L$2+$K3)^2</f>
        <v>0.25</v>
      </c>
      <c r="M3" s="1">
        <f t="shared" si="3"/>
        <v>0.13093407809540633</v>
      </c>
      <c r="N3" s="1">
        <f t="shared" si="3"/>
        <v>4.6411048285739193E-2</v>
      </c>
      <c r="O3" s="1">
        <f t="shared" si="3"/>
        <v>1.701605268553048E-2</v>
      </c>
      <c r="P3" s="1">
        <f t="shared" si="3"/>
        <v>6.7500622131527873E-3</v>
      </c>
      <c r="Q3" s="1">
        <f t="shared" si="3"/>
        <v>2.8024070551584562E-3</v>
      </c>
    </row>
    <row r="4" spans="1:17" x14ac:dyDescent="0.25">
      <c r="A4" s="5" t="s">
        <v>13</v>
      </c>
      <c r="B4" s="5">
        <f>L15</f>
        <v>4.9361492940000001E-2</v>
      </c>
      <c r="C4" s="1">
        <f t="shared" ref="C4:C7" si="4">C$2*$B4</f>
        <v>4.5232879312959178E-4</v>
      </c>
      <c r="D4" s="1">
        <f t="shared" si="2"/>
        <v>2.4365569852656701E-3</v>
      </c>
      <c r="E4" s="1">
        <f t="shared" si="2"/>
        <v>8.319302347440917E-3</v>
      </c>
      <c r="F4" s="1">
        <f t="shared" si="2"/>
        <v>1.8291533021218186E-2</v>
      </c>
      <c r="G4" s="1">
        <f t="shared" si="2"/>
        <v>2.05586437077925E-2</v>
      </c>
      <c r="H4" s="1">
        <f t="shared" si="2"/>
        <v>6.4334849721435165E-3</v>
      </c>
      <c r="J4" s="5" t="s">
        <v>19</v>
      </c>
      <c r="K4" s="5">
        <f>L14</f>
        <v>136.9033374</v>
      </c>
      <c r="L4" s="1">
        <f t="shared" si="3"/>
        <v>0.13093407809540633</v>
      </c>
      <c r="M4" s="1">
        <f t="shared" si="3"/>
        <v>0.25</v>
      </c>
      <c r="N4" s="1">
        <f t="shared" si="3"/>
        <v>0.17081736509665846</v>
      </c>
      <c r="O4" s="1">
        <f t="shared" si="3"/>
        <v>7.999210975371393E-2</v>
      </c>
      <c r="P4" s="1">
        <f t="shared" si="3"/>
        <v>3.4683782263117385E-2</v>
      </c>
      <c r="Q4" s="1">
        <f t="shared" si="3"/>
        <v>1.4908981186540842E-2</v>
      </c>
    </row>
    <row r="5" spans="1:17" x14ac:dyDescent="0.25">
      <c r="A5" s="5" t="s">
        <v>14</v>
      </c>
      <c r="B5" s="5">
        <f>M15</f>
        <v>0.16853830489999999</v>
      </c>
      <c r="C5" s="1">
        <f t="shared" si="4"/>
        <v>1.5444169839876841E-3</v>
      </c>
      <c r="D5" s="1">
        <f t="shared" si="2"/>
        <v>8.319302347440917E-3</v>
      </c>
      <c r="E5" s="1">
        <f t="shared" si="2"/>
        <v>2.8405160218565362E-2</v>
      </c>
      <c r="F5" s="1">
        <f t="shared" si="2"/>
        <v>6.2454026120436226E-2</v>
      </c>
      <c r="G5" s="1">
        <f t="shared" si="2"/>
        <v>7.0194776437699835E-2</v>
      </c>
      <c r="H5" s="1">
        <f t="shared" si="2"/>
        <v>2.1966285604908039E-2</v>
      </c>
      <c r="J5" s="5" t="s">
        <v>20</v>
      </c>
      <c r="K5" s="5">
        <f>M14</f>
        <v>38.300620289999998</v>
      </c>
      <c r="L5" s="1">
        <f t="shared" si="3"/>
        <v>4.6411048285739193E-2</v>
      </c>
      <c r="M5" s="1">
        <f t="shared" si="3"/>
        <v>0.17081736509665846</v>
      </c>
      <c r="N5" s="1">
        <f t="shared" si="3"/>
        <v>0.25</v>
      </c>
      <c r="O5" s="1">
        <f t="shared" si="3"/>
        <v>0.19031283246308486</v>
      </c>
      <c r="P5" s="1">
        <f t="shared" si="3"/>
        <v>0.10384685593236186</v>
      </c>
      <c r="Q5" s="1">
        <f t="shared" si="3"/>
        <v>4.936831221609523E-2</v>
      </c>
    </row>
    <row r="6" spans="1:17" x14ac:dyDescent="0.25">
      <c r="A6" s="5" t="s">
        <v>15</v>
      </c>
      <c r="B6" s="5">
        <f>N15</f>
        <v>0.3705627997</v>
      </c>
      <c r="C6" s="1">
        <f t="shared" si="4"/>
        <v>3.395687893207868E-3</v>
      </c>
      <c r="D6" s="1">
        <f t="shared" si="2"/>
        <v>1.8291533021218186E-2</v>
      </c>
      <c r="E6" s="1">
        <f t="shared" si="2"/>
        <v>6.2454026120436226E-2</v>
      </c>
      <c r="F6" s="1">
        <f t="shared" si="2"/>
        <v>0.13731678852150231</v>
      </c>
      <c r="G6" s="1">
        <f t="shared" si="2"/>
        <v>0.15433626733402397</v>
      </c>
      <c r="H6" s="1">
        <f t="shared" si="2"/>
        <v>4.8296963100431252E-2</v>
      </c>
      <c r="J6" s="5" t="s">
        <v>21</v>
      </c>
      <c r="K6" s="5">
        <f>N14</f>
        <v>13.157296779999999</v>
      </c>
      <c r="L6" s="1">
        <f t="shared" si="3"/>
        <v>1.701605268553048E-2</v>
      </c>
      <c r="M6" s="1">
        <f t="shared" si="3"/>
        <v>7.999210975371393E-2</v>
      </c>
      <c r="N6" s="1">
        <f t="shared" si="3"/>
        <v>0.19031283246308486</v>
      </c>
      <c r="O6" s="1">
        <f t="shared" si="3"/>
        <v>0.25</v>
      </c>
      <c r="P6" s="1">
        <f t="shared" si="3"/>
        <v>0.20147221587605374</v>
      </c>
      <c r="Q6" s="1">
        <f t="shared" si="3"/>
        <v>0.11887131436729481</v>
      </c>
    </row>
    <row r="7" spans="1:17" x14ac:dyDescent="0.25">
      <c r="A7" s="5" t="s">
        <v>16</v>
      </c>
      <c r="B7" s="5">
        <f>O15</f>
        <v>0.41649152979999998</v>
      </c>
      <c r="C7" s="1">
        <f t="shared" si="4"/>
        <v>3.8165602335432807E-3</v>
      </c>
      <c r="D7" s="1">
        <f t="shared" si="2"/>
        <v>2.05586437077925E-2</v>
      </c>
      <c r="E7" s="1">
        <f t="shared" si="2"/>
        <v>7.0194776437699835E-2</v>
      </c>
      <c r="F7" s="1">
        <f t="shared" si="2"/>
        <v>0.15433626733402397</v>
      </c>
      <c r="G7" s="1">
        <f t="shared" si="2"/>
        <v>0.17346519439514427</v>
      </c>
      <c r="H7" s="1">
        <f t="shared" si="2"/>
        <v>5.4283042071890851E-2</v>
      </c>
      <c r="J7" s="5" t="s">
        <v>22</v>
      </c>
      <c r="K7" s="5">
        <f>O14</f>
        <v>5.1093633609999998</v>
      </c>
      <c r="L7" s="1">
        <f t="shared" si="3"/>
        <v>6.7500622131527873E-3</v>
      </c>
      <c r="M7" s="1">
        <f t="shared" si="3"/>
        <v>3.4683782263117385E-2</v>
      </c>
      <c r="N7" s="1">
        <f t="shared" si="3"/>
        <v>0.10384685593236186</v>
      </c>
      <c r="O7" s="1">
        <f t="shared" si="3"/>
        <v>0.20147221587605374</v>
      </c>
      <c r="P7" s="1">
        <f t="shared" si="3"/>
        <v>0.25</v>
      </c>
      <c r="Q7" s="1">
        <f t="shared" si="3"/>
        <v>0.20661614226278302</v>
      </c>
    </row>
    <row r="8" spans="1:17" x14ac:dyDescent="0.25">
      <c r="A8" s="5" t="s">
        <v>17</v>
      </c>
      <c r="B8" s="5">
        <f>P15</f>
        <v>0.1303340841</v>
      </c>
      <c r="C8" s="1">
        <f>C$2*$B8</f>
        <v>1.1943289283463012E-3</v>
      </c>
      <c r="D8" s="1">
        <f t="shared" si="2"/>
        <v>6.4334849721435165E-3</v>
      </c>
      <c r="E8" s="1">
        <f>E$2*$B8</f>
        <v>2.1966285604908039E-2</v>
      </c>
      <c r="F8" s="1">
        <f t="shared" si="2"/>
        <v>4.8296963100431252E-2</v>
      </c>
      <c r="G8" s="1">
        <f t="shared" si="2"/>
        <v>5.4283042071890851E-2</v>
      </c>
      <c r="H8" s="1">
        <f t="shared" si="2"/>
        <v>1.6986973478185872E-2</v>
      </c>
      <c r="J8" s="5" t="s">
        <v>23</v>
      </c>
      <c r="K8" s="5">
        <f>P14</f>
        <v>2.1043179890000001</v>
      </c>
      <c r="L8" s="1">
        <f t="shared" si="3"/>
        <v>2.8024070551584562E-3</v>
      </c>
      <c r="M8" s="1">
        <f t="shared" si="3"/>
        <v>1.4908981186540842E-2</v>
      </c>
      <c r="N8" s="1">
        <f t="shared" si="3"/>
        <v>4.936831221609523E-2</v>
      </c>
      <c r="O8" s="1">
        <f t="shared" si="3"/>
        <v>0.11887131436729481</v>
      </c>
      <c r="P8" s="1">
        <f t="shared" si="3"/>
        <v>0.20661614226278302</v>
      </c>
      <c r="Q8" s="1">
        <f t="shared" si="3"/>
        <v>0.25</v>
      </c>
    </row>
    <row r="9" spans="1:17" x14ac:dyDescent="0.25">
      <c r="L9" s="2"/>
      <c r="M9" s="2"/>
      <c r="N9" s="2"/>
      <c r="O9" s="2"/>
      <c r="P9" s="2"/>
      <c r="Q9" s="2"/>
    </row>
    <row r="10" spans="1:17" x14ac:dyDescent="0.25">
      <c r="J10" s="6" t="s">
        <v>9</v>
      </c>
      <c r="K10" s="6">
        <v>6</v>
      </c>
      <c r="M10" s="7" t="s">
        <v>11</v>
      </c>
      <c r="N10" s="7">
        <f>SUM(T24:T124)*4*PI()</f>
        <v>2.076558901805893E-3</v>
      </c>
      <c r="P10" s="8" t="s">
        <v>24</v>
      </c>
      <c r="Q10" s="8">
        <f>SUM(C12:H17)</f>
        <v>0.99999999986626531</v>
      </c>
    </row>
    <row r="11" spans="1:17" x14ac:dyDescent="0.25">
      <c r="C11" s="5" t="str">
        <f t="shared" ref="C11:H11" si="5">CONCATENATE(C1," ",L1)</f>
        <v>d1 a1</v>
      </c>
      <c r="D11" s="5" t="str">
        <f t="shared" si="5"/>
        <v>d2 a2</v>
      </c>
      <c r="E11" s="5" t="str">
        <f t="shared" si="5"/>
        <v>d3 a3</v>
      </c>
      <c r="F11" s="5" t="str">
        <f t="shared" si="5"/>
        <v>d4 a4</v>
      </c>
      <c r="G11" s="5" t="str">
        <f t="shared" si="5"/>
        <v>d5 a5</v>
      </c>
      <c r="H11" s="5" t="str">
        <f t="shared" si="5"/>
        <v>d6 a6</v>
      </c>
      <c r="Q11" s="2"/>
    </row>
    <row r="12" spans="1:17" x14ac:dyDescent="0.25">
      <c r="B12" s="5" t="str">
        <f>C11</f>
        <v>d1 a1</v>
      </c>
      <c r="C12" s="1">
        <f t="shared" ref="C12:H17" si="6">2*SQRT(2)*C3*L3^(3/4)</f>
        <v>8.3971496801157056E-5</v>
      </c>
      <c r="D12" s="1">
        <f t="shared" si="6"/>
        <v>2.7847662591308291E-4</v>
      </c>
      <c r="E12" s="1">
        <f t="shared" si="6"/>
        <v>4.3679292565171899E-4</v>
      </c>
      <c r="F12" s="1">
        <f t="shared" si="6"/>
        <v>4.5249822078665276E-4</v>
      </c>
      <c r="G12" s="1">
        <f t="shared" si="6"/>
        <v>2.5421311135629911E-4</v>
      </c>
      <c r="H12" s="1">
        <f t="shared" si="6"/>
        <v>4.1145027639826083E-5</v>
      </c>
      <c r="Q12" s="2"/>
    </row>
    <row r="13" spans="1:17" x14ac:dyDescent="0.25">
      <c r="B13" s="5" t="str">
        <f>D11</f>
        <v>d2 a2</v>
      </c>
      <c r="C13" s="1">
        <f t="shared" si="6"/>
        <v>2.7847662591308291E-4</v>
      </c>
      <c r="D13" s="1">
        <f t="shared" si="6"/>
        <v>2.4365569852656706E-3</v>
      </c>
      <c r="E13" s="1">
        <f t="shared" si="6"/>
        <v>6.2521719756188487E-3</v>
      </c>
      <c r="F13" s="1">
        <f t="shared" si="6"/>
        <v>7.7818071230519965E-3</v>
      </c>
      <c r="G13" s="1">
        <f t="shared" si="6"/>
        <v>4.6734143947696257E-3</v>
      </c>
      <c r="H13" s="1">
        <f t="shared" si="6"/>
        <v>7.7638522037646262E-4</v>
      </c>
      <c r="K13" s="5">
        <v>1</v>
      </c>
      <c r="L13" s="5">
        <v>2</v>
      </c>
      <c r="M13" s="5">
        <v>3</v>
      </c>
      <c r="N13" s="5">
        <v>4</v>
      </c>
      <c r="O13" s="5">
        <v>5</v>
      </c>
      <c r="P13" s="5">
        <v>6</v>
      </c>
      <c r="Q13" s="2"/>
    </row>
    <row r="14" spans="1:17" x14ac:dyDescent="0.25">
      <c r="B14" s="5" t="str">
        <f>E11</f>
        <v>d3 a3</v>
      </c>
      <c r="C14" s="1">
        <f t="shared" si="6"/>
        <v>4.3679292565171899E-4</v>
      </c>
      <c r="D14" s="1">
        <f t="shared" si="6"/>
        <v>6.2521719756188487E-3</v>
      </c>
      <c r="E14" s="1">
        <f t="shared" si="6"/>
        <v>2.8405160218565366E-2</v>
      </c>
      <c r="F14" s="1">
        <f t="shared" si="6"/>
        <v>5.0898676396777386E-2</v>
      </c>
      <c r="G14" s="1">
        <f t="shared" si="6"/>
        <v>3.6319913286021743E-2</v>
      </c>
      <c r="H14" s="1">
        <f t="shared" si="6"/>
        <v>6.5071052219823847E-3</v>
      </c>
      <c r="J14" s="5" t="s">
        <v>0</v>
      </c>
      <c r="K14">
        <v>746.68205479999995</v>
      </c>
      <c r="L14">
        <v>136.9033374</v>
      </c>
      <c r="M14">
        <v>38.300620289999998</v>
      </c>
      <c r="N14">
        <v>13.157296779999999</v>
      </c>
      <c r="O14">
        <v>5.1093633609999998</v>
      </c>
      <c r="P14">
        <v>2.1043179890000001</v>
      </c>
      <c r="Q14" s="2"/>
    </row>
    <row r="15" spans="1:17" x14ac:dyDescent="0.25">
      <c r="B15" s="5" t="str">
        <f>F11</f>
        <v>d4 a4</v>
      </c>
      <c r="C15" s="1">
        <f t="shared" si="6"/>
        <v>4.5249822078665276E-4</v>
      </c>
      <c r="D15" s="1">
        <f t="shared" si="6"/>
        <v>7.7818071230519965E-3</v>
      </c>
      <c r="E15" s="1">
        <f t="shared" si="6"/>
        <v>5.0898676396777386E-2</v>
      </c>
      <c r="F15" s="1">
        <f t="shared" si="6"/>
        <v>0.13731678852150234</v>
      </c>
      <c r="G15" s="1">
        <f t="shared" si="6"/>
        <v>0.1312726819897079</v>
      </c>
      <c r="H15" s="1">
        <f t="shared" si="6"/>
        <v>2.7654933300547465E-2</v>
      </c>
      <c r="J15" s="5" t="s">
        <v>1</v>
      </c>
      <c r="K15">
        <v>9.1635962810000006E-3</v>
      </c>
      <c r="L15">
        <v>4.9361492940000001E-2</v>
      </c>
      <c r="M15">
        <v>0.16853830489999999</v>
      </c>
      <c r="N15">
        <v>0.3705627997</v>
      </c>
      <c r="O15">
        <v>0.41649152979999998</v>
      </c>
      <c r="P15">
        <v>0.1303340841</v>
      </c>
      <c r="Q15" s="2"/>
    </row>
    <row r="16" spans="1:17" x14ac:dyDescent="0.25">
      <c r="B16" s="5" t="str">
        <f>G11</f>
        <v>d5 a5</v>
      </c>
      <c r="C16" s="1">
        <f t="shared" si="6"/>
        <v>2.5421311135629911E-4</v>
      </c>
      <c r="D16" s="1">
        <f t="shared" si="6"/>
        <v>4.6734143947696257E-3</v>
      </c>
      <c r="E16" s="1">
        <f t="shared" si="6"/>
        <v>3.6319913286021743E-2</v>
      </c>
      <c r="F16" s="1">
        <f t="shared" si="6"/>
        <v>0.1312726819897079</v>
      </c>
      <c r="G16" s="1">
        <f t="shared" si="6"/>
        <v>0.1734651943951443</v>
      </c>
      <c r="H16" s="1">
        <f t="shared" si="6"/>
        <v>4.7052462565198933E-2</v>
      </c>
      <c r="Q16" s="2"/>
    </row>
    <row r="17" spans="1:20" x14ac:dyDescent="0.25">
      <c r="B17" s="5" t="str">
        <f>H11</f>
        <v>d6 a6</v>
      </c>
      <c r="C17" s="1">
        <f t="shared" si="6"/>
        <v>4.1145027639826083E-5</v>
      </c>
      <c r="D17" s="1">
        <f t="shared" si="6"/>
        <v>7.7638522037646262E-4</v>
      </c>
      <c r="E17" s="1">
        <f t="shared" si="6"/>
        <v>6.5071052219823847E-3</v>
      </c>
      <c r="F17" s="1">
        <f t="shared" si="6"/>
        <v>2.7654933300547465E-2</v>
      </c>
      <c r="G17" s="1">
        <f t="shared" si="6"/>
        <v>4.7052462565198933E-2</v>
      </c>
      <c r="H17" s="1">
        <f t="shared" si="6"/>
        <v>1.6986973478185875E-2</v>
      </c>
      <c r="Q17" s="2"/>
    </row>
    <row r="18" spans="1:20" x14ac:dyDescent="0.25">
      <c r="Q18" s="2"/>
    </row>
    <row r="23" spans="1:20" x14ac:dyDescent="0.25">
      <c r="A23" t="s">
        <v>8</v>
      </c>
      <c r="B23" t="s">
        <v>2</v>
      </c>
      <c r="C23" t="s">
        <v>3</v>
      </c>
      <c r="D23" t="s">
        <v>4</v>
      </c>
      <c r="E23" t="s">
        <v>5</v>
      </c>
      <c r="F23" t="s">
        <v>6</v>
      </c>
      <c r="G23" t="s">
        <v>7</v>
      </c>
      <c r="I23" t="str">
        <f t="shared" ref="I23:N23" si="7">CONCATENATE("d",K13," * ",B23)</f>
        <v>d1 * GCIA1</v>
      </c>
      <c r="J23" t="str">
        <f t="shared" si="7"/>
        <v>d2 * GCIA2</v>
      </c>
      <c r="K23" t="str">
        <f t="shared" si="7"/>
        <v>d3 * GCIA3</v>
      </c>
      <c r="L23" t="str">
        <f t="shared" si="7"/>
        <v>d4 * GCIA4</v>
      </c>
      <c r="M23" t="str">
        <f t="shared" si="7"/>
        <v>d5 * GCIA5</v>
      </c>
      <c r="N23" t="str">
        <f t="shared" si="7"/>
        <v>d6 * GCIA6</v>
      </c>
      <c r="P23" t="s">
        <v>10</v>
      </c>
      <c r="R23" t="s">
        <v>31</v>
      </c>
    </row>
    <row r="24" spans="1:20" x14ac:dyDescent="0.25">
      <c r="A24">
        <v>-5</v>
      </c>
      <c r="B24">
        <f t="shared" ref="B24:B55" si="8">GCIA(K$14,$A24)</f>
        <v>0</v>
      </c>
      <c r="C24">
        <f t="shared" ref="C24:C55" si="9">GCIA(L$14,$A24)</f>
        <v>0</v>
      </c>
      <c r="D24">
        <f t="shared" ref="D24:D55" si="10">GCIA(M$14,$A24)</f>
        <v>0</v>
      </c>
      <c r="E24">
        <f t="shared" ref="E24:E55" si="11">GCIA(N$14,$A24)</f>
        <v>6.8984319964597431E-143</v>
      </c>
      <c r="F24">
        <f t="shared" ref="F24:F55" si="12">GCIA(O$14,$A24)</f>
        <v>8.1278810885348863E-56</v>
      </c>
      <c r="G24">
        <f t="shared" ref="G24:G55" si="13">GCIA(P$14,$A24)</f>
        <v>1.7697069166822692E-23</v>
      </c>
      <c r="I24">
        <f t="shared" ref="I24:I55" si="14">K$15*B24</f>
        <v>0</v>
      </c>
      <c r="J24">
        <f t="shared" ref="J24:J55" si="15">L$15*C24</f>
        <v>0</v>
      </c>
      <c r="K24">
        <f t="shared" ref="K24:K55" si="16">M$15*D24</f>
        <v>0</v>
      </c>
      <c r="L24">
        <f t="shared" ref="L24:L55" si="17">N$15*E24</f>
        <v>2.556302274148183E-143</v>
      </c>
      <c r="M24">
        <f t="shared" ref="M24:M55" si="18">O$15*F24</f>
        <v>3.3851936285963838E-56</v>
      </c>
      <c r="N24">
        <f t="shared" ref="N24:N55" si="19">P$15*G24</f>
        <v>2.3065313011121857E-24</v>
      </c>
      <c r="P24">
        <f>SUM(I24:N24)</f>
        <v>2.3065313011121857E-24</v>
      </c>
      <c r="R24">
        <f>Radial_Part($R$23,$K$10,A24)/(2*SQRT(PI()))</f>
        <v>7.7592095728628872E-13</v>
      </c>
      <c r="T24">
        <f>0.1*A24^2*(R24-P24)^2/2</f>
        <v>7.5256666494061409E-25</v>
      </c>
    </row>
    <row r="25" spans="1:20" x14ac:dyDescent="0.25">
      <c r="A25">
        <v>-4.9000000000000004</v>
      </c>
      <c r="B25">
        <f t="shared" si="8"/>
        <v>0</v>
      </c>
      <c r="C25">
        <f t="shared" si="9"/>
        <v>0</v>
      </c>
      <c r="D25">
        <f t="shared" si="10"/>
        <v>0</v>
      </c>
      <c r="E25">
        <f t="shared" si="11"/>
        <v>3.1314851884821082E-137</v>
      </c>
      <c r="F25">
        <f t="shared" si="12"/>
        <v>1.2786626272735039E-53</v>
      </c>
      <c r="G25">
        <f t="shared" si="13"/>
        <v>1.4212029561432926E-22</v>
      </c>
      <c r="I25">
        <f t="shared" si="14"/>
        <v>0</v>
      </c>
      <c r="J25">
        <f t="shared" si="15"/>
        <v>0</v>
      </c>
      <c r="K25">
        <f t="shared" si="16"/>
        <v>0</v>
      </c>
      <c r="L25">
        <f t="shared" si="17"/>
        <v>1.1604119186630123E-137</v>
      </c>
      <c r="M25">
        <f t="shared" si="18"/>
        <v>5.3255215373122882E-54</v>
      </c>
      <c r="N25">
        <f t="shared" si="19"/>
        <v>1.8523118560914851E-23</v>
      </c>
      <c r="P25">
        <f t="shared" ref="P25:P88" si="20">SUM(I25:N25)</f>
        <v>1.8523118560914851E-23</v>
      </c>
      <c r="R25">
        <f t="shared" ref="R25:R88" si="21">Radial_Part($R$23,$K$10,A25)/(2*SQRT(PI()))</f>
        <v>1.4138201638883447E-12</v>
      </c>
      <c r="T25">
        <f t="shared" ref="T25:T88" si="22">0.1*A25^2*(R25-P25)^2/2</f>
        <v>2.3996643906457505E-24</v>
      </c>
    </row>
    <row r="26" spans="1:20" x14ac:dyDescent="0.25">
      <c r="A26">
        <v>-4.8</v>
      </c>
      <c r="B26">
        <f t="shared" si="8"/>
        <v>0</v>
      </c>
      <c r="C26">
        <f t="shared" si="9"/>
        <v>0</v>
      </c>
      <c r="D26">
        <f t="shared" si="10"/>
        <v>0</v>
      </c>
      <c r="E26">
        <f t="shared" si="11"/>
        <v>1.0926158808169252E-131</v>
      </c>
      <c r="F26">
        <f t="shared" si="12"/>
        <v>1.8161647246347703E-51</v>
      </c>
      <c r="G26">
        <f t="shared" si="13"/>
        <v>1.0942913901794653E-21</v>
      </c>
      <c r="I26">
        <f t="shared" si="14"/>
        <v>0</v>
      </c>
      <c r="J26">
        <f t="shared" si="15"/>
        <v>0</v>
      </c>
      <c r="K26">
        <f t="shared" si="16"/>
        <v>0</v>
      </c>
      <c r="L26">
        <f t="shared" si="17"/>
        <v>4.0488279979220131E-132</v>
      </c>
      <c r="M26">
        <f t="shared" si="18"/>
        <v>7.5641722453193121E-52</v>
      </c>
      <c r="N26">
        <f t="shared" si="19"/>
        <v>1.4262346607755634E-22</v>
      </c>
      <c r="P26">
        <f t="shared" si="20"/>
        <v>1.4262346607755634E-22</v>
      </c>
      <c r="R26">
        <f t="shared" si="21"/>
        <v>2.5761483009921566E-12</v>
      </c>
      <c r="T26">
        <f t="shared" si="22"/>
        <v>7.6452941583013651E-24</v>
      </c>
    </row>
    <row r="27" spans="1:20" x14ac:dyDescent="0.25">
      <c r="A27">
        <v>-4.7</v>
      </c>
      <c r="B27">
        <f t="shared" si="8"/>
        <v>0</v>
      </c>
      <c r="C27">
        <f t="shared" si="9"/>
        <v>0</v>
      </c>
      <c r="D27">
        <f t="shared" si="10"/>
        <v>0</v>
      </c>
      <c r="E27">
        <f t="shared" si="11"/>
        <v>2.9302307898387837E-126</v>
      </c>
      <c r="F27">
        <f t="shared" si="12"/>
        <v>2.3290302760861278E-49</v>
      </c>
      <c r="G27">
        <f t="shared" si="13"/>
        <v>8.0785234224091396E-21</v>
      </c>
      <c r="I27">
        <f t="shared" si="14"/>
        <v>0</v>
      </c>
      <c r="J27">
        <f t="shared" si="15"/>
        <v>0</v>
      </c>
      <c r="K27">
        <f t="shared" si="16"/>
        <v>0</v>
      </c>
      <c r="L27">
        <f t="shared" si="17"/>
        <v>1.085834525249802E-126</v>
      </c>
      <c r="M27">
        <f t="shared" si="18"/>
        <v>9.7002138263762768E-50</v>
      </c>
      <c r="N27">
        <f t="shared" si="19"/>
        <v>1.0529069511400927E-21</v>
      </c>
      <c r="P27">
        <f t="shared" si="20"/>
        <v>1.0529069511400927E-21</v>
      </c>
      <c r="R27">
        <f t="shared" si="21"/>
        <v>4.6940482518318492E-12</v>
      </c>
      <c r="T27">
        <f t="shared" si="22"/>
        <v>2.4336651279117819E-23</v>
      </c>
    </row>
    <row r="28" spans="1:20" x14ac:dyDescent="0.25">
      <c r="A28">
        <v>-4.5999999999999996</v>
      </c>
      <c r="B28">
        <f t="shared" si="8"/>
        <v>0</v>
      </c>
      <c r="C28">
        <f t="shared" si="9"/>
        <v>0</v>
      </c>
      <c r="D28">
        <f t="shared" si="10"/>
        <v>0</v>
      </c>
      <c r="E28">
        <f t="shared" si="11"/>
        <v>6.0402278105858196E-121</v>
      </c>
      <c r="F28">
        <f t="shared" si="12"/>
        <v>2.6965946336349564E-47</v>
      </c>
      <c r="G28">
        <f t="shared" si="13"/>
        <v>5.7181181005494666E-20</v>
      </c>
      <c r="I28">
        <f t="shared" si="14"/>
        <v>0</v>
      </c>
      <c r="J28">
        <f t="shared" si="15"/>
        <v>0</v>
      </c>
      <c r="K28">
        <f t="shared" si="16"/>
        <v>0</v>
      </c>
      <c r="L28">
        <f t="shared" si="17"/>
        <v>2.2382837283164825E-121</v>
      </c>
      <c r="M28">
        <f t="shared" si="18"/>
        <v>1.1231088242130936E-47</v>
      </c>
      <c r="N28">
        <f t="shared" si="19"/>
        <v>7.4526568541074636E-21</v>
      </c>
      <c r="P28">
        <f t="shared" si="20"/>
        <v>7.4526568541074636E-21</v>
      </c>
      <c r="R28">
        <f t="shared" si="21"/>
        <v>8.5531135696030574E-12</v>
      </c>
      <c r="T28">
        <f t="shared" si="22"/>
        <v>7.7398785200249494E-23</v>
      </c>
    </row>
    <row r="29" spans="1:20" x14ac:dyDescent="0.25">
      <c r="A29">
        <v>-4.5</v>
      </c>
      <c r="B29">
        <f t="shared" si="8"/>
        <v>0</v>
      </c>
      <c r="C29">
        <f t="shared" si="9"/>
        <v>0</v>
      </c>
      <c r="D29">
        <f t="shared" si="10"/>
        <v>0</v>
      </c>
      <c r="E29">
        <f t="shared" si="11"/>
        <v>9.5702213335454014E-116</v>
      </c>
      <c r="F29">
        <f t="shared" si="12"/>
        <v>2.8188815778680899E-45</v>
      </c>
      <c r="G29">
        <f t="shared" si="13"/>
        <v>3.8805776633255697E-19</v>
      </c>
      <c r="I29">
        <f t="shared" si="14"/>
        <v>0</v>
      </c>
      <c r="J29">
        <f t="shared" si="15"/>
        <v>0</v>
      </c>
      <c r="K29">
        <f t="shared" si="16"/>
        <v>0</v>
      </c>
      <c r="L29">
        <f t="shared" si="17"/>
        <v>3.5463680111072516E-116</v>
      </c>
      <c r="M29">
        <f t="shared" si="18"/>
        <v>1.1740403006913185E-45</v>
      </c>
      <c r="N29">
        <f t="shared" si="19"/>
        <v>5.0577153552845626E-20</v>
      </c>
      <c r="P29">
        <f t="shared" si="20"/>
        <v>5.0577153552845626E-20</v>
      </c>
      <c r="R29">
        <f t="shared" si="21"/>
        <v>1.5584789037048872E-11</v>
      </c>
      <c r="T29">
        <f t="shared" si="22"/>
        <v>2.4592171834976076E-22</v>
      </c>
    </row>
    <row r="30" spans="1:20" x14ac:dyDescent="0.25">
      <c r="A30">
        <v>-4.4000000000000004</v>
      </c>
      <c r="B30">
        <f t="shared" si="8"/>
        <v>0</v>
      </c>
      <c r="C30">
        <f t="shared" si="9"/>
        <v>0</v>
      </c>
      <c r="D30">
        <f t="shared" si="10"/>
        <v>0</v>
      </c>
      <c r="E30">
        <f t="shared" si="11"/>
        <v>1.1654880301335751E-110</v>
      </c>
      <c r="F30">
        <f t="shared" si="12"/>
        <v>2.6604716204296093E-43</v>
      </c>
      <c r="G30">
        <f t="shared" si="13"/>
        <v>2.5250022203403993E-18</v>
      </c>
      <c r="I30">
        <f t="shared" si="14"/>
        <v>0</v>
      </c>
      <c r="J30">
        <f t="shared" si="15"/>
        <v>0</v>
      </c>
      <c r="K30">
        <f t="shared" si="16"/>
        <v>0</v>
      </c>
      <c r="L30">
        <f t="shared" si="17"/>
        <v>4.3188650746313559E-111</v>
      </c>
      <c r="M30">
        <f t="shared" si="18"/>
        <v>1.1080638951822129E-43</v>
      </c>
      <c r="N30">
        <f t="shared" si="19"/>
        <v>3.2909385173853233E-19</v>
      </c>
      <c r="P30">
        <f t="shared" si="20"/>
        <v>3.2909385173853233E-19</v>
      </c>
      <c r="R30">
        <f t="shared" si="21"/>
        <v>2.8397337104526589E-11</v>
      </c>
      <c r="T30">
        <f t="shared" si="22"/>
        <v>7.8060365638734971E-22</v>
      </c>
    </row>
    <row r="31" spans="1:20" x14ac:dyDescent="0.25">
      <c r="A31">
        <v>-4.3</v>
      </c>
      <c r="B31">
        <f t="shared" si="8"/>
        <v>0</v>
      </c>
      <c r="C31">
        <f t="shared" si="9"/>
        <v>0</v>
      </c>
      <c r="D31">
        <f t="shared" si="10"/>
        <v>3.0360791413065893E-307</v>
      </c>
      <c r="E31">
        <f t="shared" si="11"/>
        <v>1.0909650188068373E-105</v>
      </c>
      <c r="F31">
        <f t="shared" si="12"/>
        <v>2.2670498168467206E-41</v>
      </c>
      <c r="G31">
        <f t="shared" si="13"/>
        <v>1.5752492276009363E-17</v>
      </c>
      <c r="I31">
        <f t="shared" si="14"/>
        <v>0</v>
      </c>
      <c r="J31">
        <f t="shared" si="15"/>
        <v>0</v>
      </c>
      <c r="K31">
        <f t="shared" si="16"/>
        <v>5.1169563201806009E-308</v>
      </c>
      <c r="L31">
        <f t="shared" si="17"/>
        <v>4.0427105174382479E-106</v>
      </c>
      <c r="M31">
        <f t="shared" si="18"/>
        <v>9.4420704635130042E-42</v>
      </c>
      <c r="N31">
        <f t="shared" si="19"/>
        <v>2.0530866530860048E-18</v>
      </c>
      <c r="P31">
        <f t="shared" si="20"/>
        <v>2.0530866530860048E-18</v>
      </c>
      <c r="R31">
        <f t="shared" si="21"/>
        <v>5.1743321819185135E-11</v>
      </c>
      <c r="T31">
        <f t="shared" si="22"/>
        <v>2.475229619315256E-21</v>
      </c>
    </row>
    <row r="32" spans="1:20" x14ac:dyDescent="0.25">
      <c r="A32">
        <v>-4.2</v>
      </c>
      <c r="B32">
        <f t="shared" si="8"/>
        <v>0</v>
      </c>
      <c r="C32">
        <f t="shared" si="9"/>
        <v>0</v>
      </c>
      <c r="D32">
        <f t="shared" si="10"/>
        <v>4.1782933404349227E-293</v>
      </c>
      <c r="E32">
        <f t="shared" si="11"/>
        <v>7.8493013979223707E-101</v>
      </c>
      <c r="F32">
        <f t="shared" si="12"/>
        <v>1.7441511964390607E-39</v>
      </c>
      <c r="G32">
        <f t="shared" si="13"/>
        <v>9.4223430601137393E-17</v>
      </c>
      <c r="I32">
        <f t="shared" si="14"/>
        <v>0</v>
      </c>
      <c r="J32">
        <f t="shared" si="15"/>
        <v>0</v>
      </c>
      <c r="K32">
        <f t="shared" si="16"/>
        <v>7.0420247697186051E-294</v>
      </c>
      <c r="L32">
        <f t="shared" si="17"/>
        <v>2.9086591017032378E-101</v>
      </c>
      <c r="M32">
        <f t="shared" si="18"/>
        <v>7.2642420000740467E-40</v>
      </c>
      <c r="N32">
        <f t="shared" si="19"/>
        <v>1.2280524528159154E-17</v>
      </c>
      <c r="P32">
        <f t="shared" si="20"/>
        <v>1.2280524528159154E-17</v>
      </c>
      <c r="R32">
        <f t="shared" si="21"/>
        <v>9.4282479481393137E-11</v>
      </c>
      <c r="T32">
        <f t="shared" si="22"/>
        <v>7.8402599541478868E-21</v>
      </c>
    </row>
    <row r="33" spans="1:20" x14ac:dyDescent="0.25">
      <c r="A33">
        <v>-4.0999999999999996</v>
      </c>
      <c r="B33">
        <f t="shared" si="8"/>
        <v>0</v>
      </c>
      <c r="C33">
        <f t="shared" si="9"/>
        <v>0</v>
      </c>
      <c r="D33">
        <f t="shared" si="10"/>
        <v>2.6730667537363157E-279</v>
      </c>
      <c r="E33">
        <f t="shared" si="11"/>
        <v>4.3407858205663238E-96</v>
      </c>
      <c r="F33">
        <f t="shared" si="12"/>
        <v>1.2115123080573213E-37</v>
      </c>
      <c r="G33">
        <f t="shared" si="13"/>
        <v>5.4036931043880651E-16</v>
      </c>
      <c r="I33">
        <f t="shared" si="14"/>
        <v>0</v>
      </c>
      <c r="J33">
        <f t="shared" si="15"/>
        <v>0</v>
      </c>
      <c r="K33">
        <f t="shared" si="16"/>
        <v>4.5051413955926433E-280</v>
      </c>
      <c r="L33">
        <f t="shared" si="17"/>
        <v>1.6085337465671189E-96</v>
      </c>
      <c r="M33">
        <f t="shared" si="18"/>
        <v>5.0458461455432258E-38</v>
      </c>
      <c r="N33">
        <f t="shared" si="19"/>
        <v>7.0428539151790411E-17</v>
      </c>
      <c r="P33">
        <f t="shared" si="20"/>
        <v>7.0428539151790411E-17</v>
      </c>
      <c r="R33">
        <f t="shared" si="21"/>
        <v>1.7179387841047968E-10</v>
      </c>
      <c r="T33">
        <f t="shared" si="22"/>
        <v>2.4805771023416587E-20</v>
      </c>
    </row>
    <row r="34" spans="1:20" x14ac:dyDescent="0.25">
      <c r="A34">
        <v>-4</v>
      </c>
      <c r="B34">
        <f t="shared" si="8"/>
        <v>0</v>
      </c>
      <c r="C34">
        <f t="shared" si="9"/>
        <v>0</v>
      </c>
      <c r="D34">
        <f t="shared" si="10"/>
        <v>7.9496081342470614E-266</v>
      </c>
      <c r="E34">
        <f t="shared" si="11"/>
        <v>1.8451126327653326E-91</v>
      </c>
      <c r="F34">
        <f t="shared" si="12"/>
        <v>7.597875357559394E-36</v>
      </c>
      <c r="G34">
        <f t="shared" si="13"/>
        <v>2.9712867439979924E-15</v>
      </c>
      <c r="I34">
        <f t="shared" si="14"/>
        <v>0</v>
      </c>
      <c r="J34">
        <f t="shared" si="15"/>
        <v>0</v>
      </c>
      <c r="K34">
        <f t="shared" si="16"/>
        <v>1.3398134795652513E-266</v>
      </c>
      <c r="L34">
        <f t="shared" si="17"/>
        <v>6.8373010295935959E-92</v>
      </c>
      <c r="M34">
        <f t="shared" si="18"/>
        <v>3.1644507308996337E-36</v>
      </c>
      <c r="N34">
        <f t="shared" si="19"/>
        <v>3.8725993637744952E-16</v>
      </c>
      <c r="P34">
        <f t="shared" si="20"/>
        <v>3.8725993637744952E-16</v>
      </c>
      <c r="R34">
        <f t="shared" si="21"/>
        <v>3.1302885564373555E-10</v>
      </c>
      <c r="T34">
        <f t="shared" si="22"/>
        <v>7.8389457614965726E-20</v>
      </c>
    </row>
    <row r="35" spans="1:20" x14ac:dyDescent="0.25">
      <c r="A35">
        <v>-3.9</v>
      </c>
      <c r="B35">
        <f t="shared" si="8"/>
        <v>0</v>
      </c>
      <c r="C35">
        <f t="shared" si="9"/>
        <v>0</v>
      </c>
      <c r="D35">
        <f t="shared" si="10"/>
        <v>1.0990227362632445E-252</v>
      </c>
      <c r="E35">
        <f t="shared" si="11"/>
        <v>6.0282961427687573E-87</v>
      </c>
      <c r="F35">
        <f t="shared" si="12"/>
        <v>4.3020666313938851E-34</v>
      </c>
      <c r="G35">
        <f t="shared" si="13"/>
        <v>1.5664645865870907E-14</v>
      </c>
      <c r="I35">
        <f t="shared" si="14"/>
        <v>0</v>
      </c>
      <c r="J35">
        <f t="shared" si="15"/>
        <v>0</v>
      </c>
      <c r="K35">
        <f t="shared" si="16"/>
        <v>1.8522742901636697E-253</v>
      </c>
      <c r="L35">
        <f t="shared" si="17"/>
        <v>2.2338622960851018E-87</v>
      </c>
      <c r="M35">
        <f t="shared" si="18"/>
        <v>1.7917743126107719E-34</v>
      </c>
      <c r="N35">
        <f t="shared" si="19"/>
        <v>2.0416372716791361E-15</v>
      </c>
      <c r="P35">
        <f t="shared" si="20"/>
        <v>2.0416372716791361E-15</v>
      </c>
      <c r="R35">
        <f t="shared" si="21"/>
        <v>5.7037576293317799E-10</v>
      </c>
      <c r="T35">
        <f t="shared" si="22"/>
        <v>2.4741056136912704E-19</v>
      </c>
    </row>
    <row r="36" spans="1:20" x14ac:dyDescent="0.25">
      <c r="A36">
        <v>-3.8</v>
      </c>
      <c r="B36">
        <f t="shared" si="8"/>
        <v>0</v>
      </c>
      <c r="C36">
        <f t="shared" si="9"/>
        <v>0</v>
      </c>
      <c r="D36">
        <f t="shared" si="10"/>
        <v>7.0630563650119809E-240</v>
      </c>
      <c r="E36">
        <f t="shared" si="11"/>
        <v>1.5138521015920736E-82</v>
      </c>
      <c r="F36">
        <f t="shared" si="12"/>
        <v>2.1992911879966824E-32</v>
      </c>
      <c r="G36">
        <f t="shared" si="13"/>
        <v>7.9180588094970843E-14</v>
      </c>
      <c r="I36">
        <f t="shared" si="14"/>
        <v>0</v>
      </c>
      <c r="J36">
        <f t="shared" si="15"/>
        <v>0</v>
      </c>
      <c r="K36">
        <f t="shared" si="16"/>
        <v>1.1903955471722749E-240</v>
      </c>
      <c r="L36">
        <f t="shared" si="17"/>
        <v>5.6097727309768763E-83</v>
      </c>
      <c r="M36">
        <f t="shared" si="18"/>
        <v>9.1598615136439762E-33</v>
      </c>
      <c r="N36">
        <f t="shared" si="19"/>
        <v>1.0319929427857388E-14</v>
      </c>
      <c r="P36">
        <f t="shared" si="20"/>
        <v>1.0319929427857388E-14</v>
      </c>
      <c r="R36">
        <f t="shared" si="21"/>
        <v>1.0392924009276251E-9</v>
      </c>
      <c r="T36">
        <f t="shared" si="22"/>
        <v>7.7983743008420704E-19</v>
      </c>
    </row>
    <row r="37" spans="1:20" x14ac:dyDescent="0.25">
      <c r="A37">
        <v>-3.7</v>
      </c>
      <c r="B37">
        <f t="shared" si="8"/>
        <v>0</v>
      </c>
      <c r="C37">
        <f t="shared" si="9"/>
        <v>0</v>
      </c>
      <c r="D37">
        <f t="shared" si="10"/>
        <v>2.1101032486364843E-227</v>
      </c>
      <c r="E37">
        <f t="shared" si="11"/>
        <v>2.9220624226144449E-78</v>
      </c>
      <c r="F37">
        <f t="shared" si="12"/>
        <v>1.0151003310548176E-30</v>
      </c>
      <c r="G37">
        <f t="shared" si="13"/>
        <v>3.8374169643677624E-13</v>
      </c>
      <c r="I37">
        <f t="shared" si="14"/>
        <v>0</v>
      </c>
      <c r="J37">
        <f t="shared" si="15"/>
        <v>0</v>
      </c>
      <c r="K37">
        <f t="shared" si="16"/>
        <v>3.5563322468917629E-228</v>
      </c>
      <c r="L37">
        <f t="shared" si="17"/>
        <v>1.0828076322221733E-78</v>
      </c>
      <c r="M37">
        <f t="shared" si="18"/>
        <v>4.227806897815074E-31</v>
      </c>
      <c r="N37">
        <f t="shared" si="19"/>
        <v>5.0014622536067463E-14</v>
      </c>
      <c r="P37">
        <f t="shared" si="20"/>
        <v>5.0014622536067463E-14</v>
      </c>
      <c r="R37">
        <f t="shared" si="21"/>
        <v>1.8937142228332055E-9</v>
      </c>
      <c r="T37">
        <f t="shared" si="22"/>
        <v>2.4545924493520987E-18</v>
      </c>
    </row>
    <row r="38" spans="1:20" x14ac:dyDescent="0.25">
      <c r="A38">
        <v>-3.6</v>
      </c>
      <c r="B38">
        <f t="shared" si="8"/>
        <v>0</v>
      </c>
      <c r="C38">
        <f t="shared" si="9"/>
        <v>0</v>
      </c>
      <c r="D38">
        <f t="shared" si="10"/>
        <v>2.9304868659123431E-215</v>
      </c>
      <c r="E38">
        <f t="shared" si="11"/>
        <v>4.3352355844643423E-74</v>
      </c>
      <c r="F38">
        <f t="shared" si="12"/>
        <v>4.2301506897346629E-29</v>
      </c>
      <c r="G38">
        <f t="shared" si="13"/>
        <v>1.7831233429779641E-12</v>
      </c>
      <c r="I38">
        <f t="shared" si="14"/>
        <v>0</v>
      </c>
      <c r="J38">
        <f t="shared" si="15"/>
        <v>0</v>
      </c>
      <c r="K38">
        <f t="shared" si="16"/>
        <v>4.9389928891257988E-216</v>
      </c>
      <c r="L38">
        <f t="shared" si="17"/>
        <v>1.6064770355381724E-74</v>
      </c>
      <c r="M38">
        <f t="shared" si="18"/>
        <v>1.7618219320521147E-29</v>
      </c>
      <c r="N38">
        <f t="shared" si="19"/>
        <v>2.3240174774436314E-13</v>
      </c>
      <c r="P38">
        <f t="shared" si="20"/>
        <v>2.3240174774436314E-13</v>
      </c>
      <c r="R38">
        <f t="shared" si="21"/>
        <v>3.45057228799129E-9</v>
      </c>
      <c r="T38">
        <f t="shared" si="22"/>
        <v>7.7143397742308265E-18</v>
      </c>
    </row>
    <row r="39" spans="1:20" x14ac:dyDescent="0.25">
      <c r="A39">
        <v>-3.5000000000000102</v>
      </c>
      <c r="B39">
        <f t="shared" si="8"/>
        <v>0</v>
      </c>
      <c r="C39">
        <f t="shared" si="9"/>
        <v>0</v>
      </c>
      <c r="D39">
        <f t="shared" si="10"/>
        <v>1.891911824267845E-203</v>
      </c>
      <c r="E39">
        <f t="shared" si="11"/>
        <v>4.9437111560643909E-70</v>
      </c>
      <c r="F39">
        <f t="shared" si="12"/>
        <v>1.5915611928489306E-27</v>
      </c>
      <c r="G39">
        <f t="shared" si="13"/>
        <v>7.9441220140434978E-12</v>
      </c>
      <c r="I39">
        <f t="shared" si="14"/>
        <v>0</v>
      </c>
      <c r="J39">
        <f t="shared" si="15"/>
        <v>0</v>
      </c>
      <c r="K39">
        <f t="shared" si="16"/>
        <v>3.1885961188236926E-204</v>
      </c>
      <c r="L39">
        <f t="shared" si="17"/>
        <v>1.8319554468993445E-70</v>
      </c>
      <c r="M39">
        <f t="shared" si="18"/>
        <v>6.6287175597996386E-28</v>
      </c>
      <c r="N39">
        <f t="shared" si="19"/>
        <v>1.0353898666790065E-12</v>
      </c>
      <c r="P39">
        <f t="shared" si="20"/>
        <v>1.0353898666790071E-12</v>
      </c>
      <c r="R39">
        <f t="shared" si="21"/>
        <v>6.2873526380550523E-9</v>
      </c>
      <c r="T39">
        <f t="shared" si="22"/>
        <v>2.4204643033733406E-17</v>
      </c>
    </row>
    <row r="40" spans="1:20" x14ac:dyDescent="0.25">
      <c r="A40">
        <v>-3.4000000000000101</v>
      </c>
      <c r="B40">
        <f t="shared" si="8"/>
        <v>0</v>
      </c>
      <c r="C40">
        <f t="shared" si="9"/>
        <v>0</v>
      </c>
      <c r="D40">
        <f t="shared" si="10"/>
        <v>5.6778908934457822E-192</v>
      </c>
      <c r="E40">
        <f t="shared" si="11"/>
        <v>4.3332190767692579E-66</v>
      </c>
      <c r="F40">
        <f t="shared" si="12"/>
        <v>5.4064411207700084E-26</v>
      </c>
      <c r="G40">
        <f t="shared" si="13"/>
        <v>3.3933804428215698E-11</v>
      </c>
      <c r="I40">
        <f t="shared" si="14"/>
        <v>0</v>
      </c>
      <c r="J40">
        <f t="shared" si="15"/>
        <v>0</v>
      </c>
      <c r="K40">
        <f t="shared" si="16"/>
        <v>9.5694210658849853E-193</v>
      </c>
      <c r="L40">
        <f t="shared" si="17"/>
        <v>1.6057297928010654E-66</v>
      </c>
      <c r="M40">
        <f t="shared" si="18"/>
        <v>2.2517369331631272E-26</v>
      </c>
      <c r="N40">
        <f t="shared" si="19"/>
        <v>4.422731320180017E-12</v>
      </c>
      <c r="P40">
        <f t="shared" si="20"/>
        <v>4.4227313201800396E-12</v>
      </c>
      <c r="R40">
        <f t="shared" si="21"/>
        <v>1.1456303446484951E-8</v>
      </c>
      <c r="T40">
        <f t="shared" si="22"/>
        <v>7.5802140566502134E-17</v>
      </c>
    </row>
    <row r="41" spans="1:20" x14ac:dyDescent="0.25">
      <c r="A41">
        <v>-3.30000000000001</v>
      </c>
      <c r="B41">
        <f t="shared" si="8"/>
        <v>0</v>
      </c>
      <c r="C41">
        <f t="shared" si="9"/>
        <v>0</v>
      </c>
      <c r="D41">
        <f t="shared" si="10"/>
        <v>7.9213323173422275E-181</v>
      </c>
      <c r="E41">
        <f t="shared" si="11"/>
        <v>2.9193446967411873E-62</v>
      </c>
      <c r="F41">
        <f t="shared" si="12"/>
        <v>1.6581363795253853E-24</v>
      </c>
      <c r="G41">
        <f t="shared" si="13"/>
        <v>1.3897648566399463E-10</v>
      </c>
      <c r="I41">
        <f t="shared" si="14"/>
        <v>0</v>
      </c>
      <c r="J41">
        <f t="shared" si="15"/>
        <v>0</v>
      </c>
      <c r="K41">
        <f t="shared" si="16"/>
        <v>1.3350479213144477E-181</v>
      </c>
      <c r="L41">
        <f t="shared" si="17"/>
        <v>1.0818005441137618E-62</v>
      </c>
      <c r="M41">
        <f t="shared" si="18"/>
        <v>6.9059975732556105E-25</v>
      </c>
      <c r="N41">
        <f t="shared" si="19"/>
        <v>1.811337297045352E-11</v>
      </c>
      <c r="P41">
        <f t="shared" si="20"/>
        <v>1.8113372970454212E-11</v>
      </c>
      <c r="R41">
        <f t="shared" si="21"/>
        <v>2.0874745892818841E-8</v>
      </c>
      <c r="T41">
        <f t="shared" si="22"/>
        <v>2.3685702087702593E-16</v>
      </c>
    </row>
    <row r="42" spans="1:20" x14ac:dyDescent="0.25">
      <c r="A42">
        <v>-3.2000000000000099</v>
      </c>
      <c r="B42">
        <f t="shared" si="8"/>
        <v>0</v>
      </c>
      <c r="C42">
        <f t="shared" si="9"/>
        <v>0</v>
      </c>
      <c r="D42">
        <f t="shared" si="10"/>
        <v>5.137294500557539E-170</v>
      </c>
      <c r="E42">
        <f t="shared" si="11"/>
        <v>1.5117406075610867E-58</v>
      </c>
      <c r="F42">
        <f t="shared" si="12"/>
        <v>4.5914478057701436E-23</v>
      </c>
      <c r="G42">
        <f t="shared" si="13"/>
        <v>5.4572295785985474E-10</v>
      </c>
      <c r="I42">
        <f t="shared" si="14"/>
        <v>0</v>
      </c>
      <c r="J42">
        <f t="shared" si="15"/>
        <v>0</v>
      </c>
      <c r="K42">
        <f t="shared" si="16"/>
        <v>8.6583090689605977E-171</v>
      </c>
      <c r="L42">
        <f t="shared" si="17"/>
        <v>5.6019483195801527E-59</v>
      </c>
      <c r="M42">
        <f t="shared" si="18"/>
        <v>1.9122991206220603E-23</v>
      </c>
      <c r="N42">
        <f t="shared" si="19"/>
        <v>7.1126301885007059E-11</v>
      </c>
      <c r="P42">
        <f t="shared" si="20"/>
        <v>7.1126301885026188E-11</v>
      </c>
      <c r="R42">
        <f t="shared" si="21"/>
        <v>3.8036266944679828E-8</v>
      </c>
      <c r="T42">
        <f t="shared" si="22"/>
        <v>7.3797217486192582E-16</v>
      </c>
    </row>
    <row r="43" spans="1:20" x14ac:dyDescent="0.25">
      <c r="A43">
        <v>-3.1000000000000099</v>
      </c>
      <c r="B43">
        <f t="shared" si="8"/>
        <v>0</v>
      </c>
      <c r="C43">
        <f t="shared" si="9"/>
        <v>0</v>
      </c>
      <c r="D43">
        <f t="shared" si="10"/>
        <v>1.5488013960212585E-159</v>
      </c>
      <c r="E43">
        <f t="shared" si="11"/>
        <v>6.0170878691416723E-55</v>
      </c>
      <c r="F43">
        <f t="shared" si="12"/>
        <v>1.147888458821659E-21</v>
      </c>
      <c r="G43">
        <f t="shared" si="13"/>
        <v>2.054590376426349E-9</v>
      </c>
      <c r="I43">
        <f t="shared" si="14"/>
        <v>0</v>
      </c>
      <c r="J43">
        <f t="shared" si="15"/>
        <v>0</v>
      </c>
      <c r="K43">
        <f t="shared" si="16"/>
        <v>2.6103236191217651E-160</v>
      </c>
      <c r="L43">
        <f t="shared" si="17"/>
        <v>2.2297089268300455E-55</v>
      </c>
      <c r="M43">
        <f t="shared" si="18"/>
        <v>4.7808582025439707E-22</v>
      </c>
      <c r="N43">
        <f t="shared" si="19"/>
        <v>2.6778315491220245E-10</v>
      </c>
      <c r="P43">
        <f t="shared" si="20"/>
        <v>2.6778315491268056E-10</v>
      </c>
      <c r="R43">
        <f t="shared" si="21"/>
        <v>6.9306597096573277E-8</v>
      </c>
      <c r="T43">
        <f t="shared" si="22"/>
        <v>2.2902349375414405E-15</v>
      </c>
    </row>
    <row r="44" spans="1:20" x14ac:dyDescent="0.25">
      <c r="A44">
        <v>-3.0000000000000102</v>
      </c>
      <c r="B44">
        <f t="shared" si="8"/>
        <v>0</v>
      </c>
      <c r="C44">
        <f t="shared" si="9"/>
        <v>0</v>
      </c>
      <c r="D44">
        <f t="shared" si="10"/>
        <v>2.1706111977770229E-149</v>
      </c>
      <c r="E44">
        <f t="shared" si="11"/>
        <v>1.8408254100204307E-51</v>
      </c>
      <c r="F44">
        <f t="shared" si="12"/>
        <v>2.5910175864921755E-20</v>
      </c>
      <c r="G44">
        <f t="shared" si="13"/>
        <v>7.4165239062481939E-9</v>
      </c>
      <c r="I44">
        <f t="shared" si="14"/>
        <v>0</v>
      </c>
      <c r="J44">
        <f t="shared" si="15"/>
        <v>0</v>
      </c>
      <c r="K44">
        <f t="shared" si="16"/>
        <v>3.6583113187029804E-150</v>
      </c>
      <c r="L44">
        <f t="shared" si="17"/>
        <v>6.8214141769607123E-52</v>
      </c>
      <c r="M44">
        <f t="shared" si="18"/>
        <v>1.0791368783368299E-20</v>
      </c>
      <c r="N44">
        <f t="shared" si="19"/>
        <v>9.6662585052661267E-10</v>
      </c>
      <c r="P44">
        <f t="shared" si="20"/>
        <v>9.6662585053740407E-10</v>
      </c>
      <c r="R44">
        <f t="shared" si="21"/>
        <v>1.2628485356075613E-7</v>
      </c>
      <c r="T44">
        <f t="shared" si="22"/>
        <v>7.0670961883936519E-15</v>
      </c>
    </row>
    <row r="45" spans="1:20" x14ac:dyDescent="0.25">
      <c r="A45">
        <v>-2.9000000000000101</v>
      </c>
      <c r="B45">
        <f t="shared" si="8"/>
        <v>0</v>
      </c>
      <c r="C45">
        <f t="shared" si="9"/>
        <v>0</v>
      </c>
      <c r="D45">
        <f t="shared" si="10"/>
        <v>1.4141431882408365E-139</v>
      </c>
      <c r="E45">
        <f t="shared" si="11"/>
        <v>4.3286853632379051E-48</v>
      </c>
      <c r="F45">
        <f t="shared" si="12"/>
        <v>5.2803373043833725E-19</v>
      </c>
      <c r="G45">
        <f t="shared" si="13"/>
        <v>2.5668333808988666E-8</v>
      </c>
      <c r="I45">
        <f t="shared" si="14"/>
        <v>0</v>
      </c>
      <c r="J45">
        <f t="shared" si="15"/>
        <v>0</v>
      </c>
      <c r="K45">
        <f t="shared" si="16"/>
        <v>2.3833729583199217E-140</v>
      </c>
      <c r="L45">
        <f t="shared" si="17"/>
        <v>1.6040497672218495E-48</v>
      </c>
      <c r="M45">
        <f t="shared" si="18"/>
        <v>2.1992157617626388E-19</v>
      </c>
      <c r="N45">
        <f t="shared" si="19"/>
        <v>3.345458777367602E-9</v>
      </c>
      <c r="P45">
        <f t="shared" si="20"/>
        <v>3.3454587775875237E-9</v>
      </c>
      <c r="R45">
        <f t="shared" si="21"/>
        <v>2.3010600587761558E-7</v>
      </c>
      <c r="T45">
        <f t="shared" si="22"/>
        <v>2.1622255375724404E-14</v>
      </c>
    </row>
    <row r="46" spans="1:20" x14ac:dyDescent="0.25">
      <c r="A46">
        <v>-2.80000000000001</v>
      </c>
      <c r="B46">
        <f t="shared" si="8"/>
        <v>0</v>
      </c>
      <c r="C46">
        <f t="shared" si="9"/>
        <v>0</v>
      </c>
      <c r="D46">
        <f t="shared" si="10"/>
        <v>4.2828195042039356E-130</v>
      </c>
      <c r="E46">
        <f t="shared" si="11"/>
        <v>7.823779660008543E-45</v>
      </c>
      <c r="F46">
        <f t="shared" si="12"/>
        <v>9.7156890028100017E-18</v>
      </c>
      <c r="G46">
        <f t="shared" si="13"/>
        <v>8.5175968858879892E-8</v>
      </c>
      <c r="I46">
        <f t="shared" si="14"/>
        <v>0</v>
      </c>
      <c r="J46">
        <f t="shared" si="15"/>
        <v>0</v>
      </c>
      <c r="K46">
        <f t="shared" si="16"/>
        <v>7.2181913943118968E-131</v>
      </c>
      <c r="L46">
        <f t="shared" si="17"/>
        <v>2.8992016950486798E-45</v>
      </c>
      <c r="M46">
        <f t="shared" si="18"/>
        <v>4.0465021758413742E-18</v>
      </c>
      <c r="N46">
        <f t="shared" si="19"/>
        <v>1.1101331888552232E-8</v>
      </c>
      <c r="P46">
        <f t="shared" si="20"/>
        <v>1.1101331892598733E-8</v>
      </c>
      <c r="R46">
        <f t="shared" si="21"/>
        <v>4.1928047939237295E-7</v>
      </c>
      <c r="T46">
        <f t="shared" si="22"/>
        <v>6.5311204849828303E-14</v>
      </c>
    </row>
    <row r="47" spans="1:20" x14ac:dyDescent="0.25">
      <c r="A47">
        <v>-2.7000000000000099</v>
      </c>
      <c r="B47">
        <f t="shared" si="8"/>
        <v>0</v>
      </c>
      <c r="C47">
        <f t="shared" si="9"/>
        <v>0</v>
      </c>
      <c r="D47">
        <f t="shared" si="10"/>
        <v>6.0296374100208983E-121</v>
      </c>
      <c r="E47">
        <f t="shared" si="11"/>
        <v>1.0869119773871055E-41</v>
      </c>
      <c r="F47">
        <f t="shared" si="12"/>
        <v>1.6140098366720665E-16</v>
      </c>
      <c r="G47">
        <f t="shared" si="13"/>
        <v>2.7099333659122672E-7</v>
      </c>
      <c r="I47">
        <f t="shared" si="14"/>
        <v>0</v>
      </c>
      <c r="J47">
        <f t="shared" si="15"/>
        <v>0</v>
      </c>
      <c r="K47">
        <f t="shared" si="16"/>
        <v>1.0162248682465485E-121</v>
      </c>
      <c r="L47">
        <f t="shared" si="17"/>
        <v>4.0276914536802888E-42</v>
      </c>
      <c r="M47">
        <f t="shared" si="18"/>
        <v>6.7222142598779703E-17</v>
      </c>
      <c r="N47">
        <f t="shared" si="19"/>
        <v>3.5319668321820548E-8</v>
      </c>
      <c r="P47">
        <f t="shared" si="20"/>
        <v>3.5319668389042691E-8</v>
      </c>
      <c r="R47">
        <f t="shared" si="21"/>
        <v>7.639788441375892E-7</v>
      </c>
      <c r="T47">
        <f t="shared" si="22"/>
        <v>1.9352915885973136E-13</v>
      </c>
    </row>
    <row r="48" spans="1:20" x14ac:dyDescent="0.25">
      <c r="A48">
        <v>-2.6000000000000099</v>
      </c>
      <c r="B48">
        <f t="shared" si="8"/>
        <v>0</v>
      </c>
      <c r="C48">
        <f t="shared" si="9"/>
        <v>0</v>
      </c>
      <c r="D48">
        <f t="shared" si="10"/>
        <v>3.9461869938334168E-112</v>
      </c>
      <c r="E48">
        <f t="shared" si="11"/>
        <v>1.1606180230265136E-38</v>
      </c>
      <c r="F48">
        <f t="shared" si="12"/>
        <v>2.4208026355398512E-15</v>
      </c>
      <c r="G48">
        <f t="shared" si="13"/>
        <v>8.2665113873248811E-7</v>
      </c>
      <c r="I48">
        <f t="shared" si="14"/>
        <v>0</v>
      </c>
      <c r="J48">
        <f t="shared" si="15"/>
        <v>0</v>
      </c>
      <c r="K48">
        <f t="shared" si="16"/>
        <v>6.6508366675911082E-113</v>
      </c>
      <c r="L48">
        <f t="shared" si="17"/>
        <v>4.3008186399498396E-39</v>
      </c>
      <c r="M48">
        <f t="shared" si="18"/>
        <v>1.0082437930198644E-15</v>
      </c>
      <c r="N48">
        <f t="shared" si="19"/>
        <v>1.0774081903692087E-7</v>
      </c>
      <c r="P48">
        <f t="shared" si="20"/>
        <v>1.0774082004516466E-7</v>
      </c>
      <c r="R48">
        <f t="shared" si="21"/>
        <v>1.3920602150037136E-6</v>
      </c>
      <c r="T48">
        <f t="shared" si="22"/>
        <v>5.5752299219414652E-13</v>
      </c>
    </row>
    <row r="49" spans="1:20" x14ac:dyDescent="0.25">
      <c r="A49">
        <v>-2.5000000000000102</v>
      </c>
      <c r="B49">
        <f t="shared" si="8"/>
        <v>0</v>
      </c>
      <c r="C49">
        <f t="shared" si="9"/>
        <v>0</v>
      </c>
      <c r="D49">
        <f t="shared" si="10"/>
        <v>1.2005746361458084E-103</v>
      </c>
      <c r="E49">
        <f t="shared" si="11"/>
        <v>9.5257991097007452E-36</v>
      </c>
      <c r="F49">
        <f t="shared" si="12"/>
        <v>3.2781832241833684E-14</v>
      </c>
      <c r="G49">
        <f t="shared" si="13"/>
        <v>2.4177313986672692E-6</v>
      </c>
      <c r="I49">
        <f t="shared" si="14"/>
        <v>0</v>
      </c>
      <c r="J49">
        <f t="shared" si="15"/>
        <v>0</v>
      </c>
      <c r="K49">
        <f t="shared" si="16"/>
        <v>2.0234281408194881E-104</v>
      </c>
      <c r="L49">
        <f t="shared" si="17"/>
        <v>3.5299067874704754E-36</v>
      </c>
      <c r="M49">
        <f t="shared" si="18"/>
        <v>1.3653355460048274E-14</v>
      </c>
      <c r="N49">
        <f t="shared" si="19"/>
        <v>3.1511280744511051E-7</v>
      </c>
      <c r="P49">
        <f t="shared" si="20"/>
        <v>3.1511282109846598E-7</v>
      </c>
      <c r="R49">
        <f t="shared" si="21"/>
        <v>2.5364990890339149E-6</v>
      </c>
      <c r="T49">
        <f t="shared" si="22"/>
        <v>1.5420490473038199E-12</v>
      </c>
    </row>
    <row r="50" spans="1:20" x14ac:dyDescent="0.25">
      <c r="A50">
        <v>-2.4000000000000101</v>
      </c>
      <c r="B50">
        <f t="shared" si="8"/>
        <v>0</v>
      </c>
      <c r="C50">
        <f t="shared" si="9"/>
        <v>0</v>
      </c>
      <c r="D50">
        <f t="shared" si="10"/>
        <v>1.6979531628252421E-95</v>
      </c>
      <c r="E50">
        <f t="shared" si="11"/>
        <v>6.0093942717849326E-33</v>
      </c>
      <c r="F50">
        <f t="shared" si="12"/>
        <v>4.0079998556593718E-13</v>
      </c>
      <c r="G50">
        <f t="shared" si="13"/>
        <v>6.7797855831020486E-6</v>
      </c>
      <c r="I50">
        <f t="shared" si="14"/>
        <v>0</v>
      </c>
      <c r="J50">
        <f t="shared" si="15"/>
        <v>0</v>
      </c>
      <c r="K50">
        <f t="shared" si="16"/>
        <v>2.8617014786215996E-96</v>
      </c>
      <c r="L50">
        <f t="shared" si="17"/>
        <v>2.2268579658537674E-33</v>
      </c>
      <c r="M50">
        <f t="shared" si="18"/>
        <v>1.6692979913217509E-13</v>
      </c>
      <c r="N50">
        <f t="shared" si="19"/>
        <v>8.8363714436798992E-7</v>
      </c>
      <c r="P50">
        <f t="shared" si="20"/>
        <v>8.8363731129778907E-7</v>
      </c>
      <c r="R50">
        <f t="shared" si="21"/>
        <v>4.621802677302095E-6</v>
      </c>
      <c r="T50">
        <f t="shared" si="22"/>
        <v>4.0244775274351365E-12</v>
      </c>
    </row>
    <row r="51" spans="1:20" x14ac:dyDescent="0.25">
      <c r="A51">
        <v>-2.30000000000001</v>
      </c>
      <c r="B51">
        <f t="shared" si="8"/>
        <v>0</v>
      </c>
      <c r="C51">
        <f t="shared" si="9"/>
        <v>0</v>
      </c>
      <c r="D51">
        <f t="shared" si="10"/>
        <v>1.1163163551284362E-87</v>
      </c>
      <c r="E51">
        <f t="shared" si="11"/>
        <v>2.9139168256845989E-30</v>
      </c>
      <c r="F51">
        <f t="shared" si="12"/>
        <v>4.4242820399869781E-12</v>
      </c>
      <c r="G51">
        <f t="shared" si="13"/>
        <v>1.8228292707016227E-5</v>
      </c>
      <c r="I51">
        <f t="shared" si="14"/>
        <v>0</v>
      </c>
      <c r="J51">
        <f t="shared" si="15"/>
        <v>0</v>
      </c>
      <c r="K51">
        <f t="shared" si="16"/>
        <v>1.8814206622549306E-88</v>
      </c>
      <c r="L51">
        <f t="shared" si="17"/>
        <v>1.0797891770186218E-30</v>
      </c>
      <c r="M51">
        <f t="shared" si="18"/>
        <v>1.8426759951008412E-12</v>
      </c>
      <c r="N51">
        <f t="shared" si="19"/>
        <v>2.3757678346756695E-6</v>
      </c>
      <c r="P51">
        <f t="shared" si="20"/>
        <v>2.3757696773516646E-6</v>
      </c>
      <c r="R51">
        <f t="shared" si="21"/>
        <v>8.4214735500073325E-6</v>
      </c>
      <c r="T51">
        <f t="shared" si="22"/>
        <v>9.6676165910407547E-12</v>
      </c>
    </row>
    <row r="52" spans="1:20" x14ac:dyDescent="0.25">
      <c r="A52">
        <v>-2.2000000000000099</v>
      </c>
      <c r="B52">
        <f t="shared" si="8"/>
        <v>0</v>
      </c>
      <c r="C52">
        <f t="shared" si="9"/>
        <v>4.8575683689692419E-287</v>
      </c>
      <c r="D52">
        <f t="shared" si="10"/>
        <v>3.4117241374343454E-80</v>
      </c>
      <c r="E52">
        <f t="shared" si="11"/>
        <v>1.086027383691018E-27</v>
      </c>
      <c r="F52">
        <f t="shared" si="12"/>
        <v>4.4093903351376673E-11</v>
      </c>
      <c r="G52">
        <f t="shared" si="13"/>
        <v>4.6989211199884242E-5</v>
      </c>
      <c r="I52">
        <f t="shared" si="14"/>
        <v>0</v>
      </c>
      <c r="J52">
        <f t="shared" si="15"/>
        <v>2.3977682675044254E-288</v>
      </c>
      <c r="K52">
        <f t="shared" si="16"/>
        <v>5.7500620290959921E-81</v>
      </c>
      <c r="L52">
        <f t="shared" si="17"/>
        <v>4.0244134785140974E-28</v>
      </c>
      <c r="M52">
        <f t="shared" si="18"/>
        <v>1.8364737261668217E-11</v>
      </c>
      <c r="N52">
        <f t="shared" si="19"/>
        <v>6.1242958043183747E-6</v>
      </c>
      <c r="P52">
        <f t="shared" si="20"/>
        <v>6.1243141690556365E-6</v>
      </c>
      <c r="R52">
        <f t="shared" si="21"/>
        <v>1.5344925282459783E-5</v>
      </c>
      <c r="T52">
        <f t="shared" si="22"/>
        <v>2.0574759971721145E-11</v>
      </c>
    </row>
    <row r="53" spans="1:20" x14ac:dyDescent="0.25">
      <c r="A53">
        <v>-2.1000000000000099</v>
      </c>
      <c r="B53">
        <f t="shared" si="8"/>
        <v>0</v>
      </c>
      <c r="C53">
        <f t="shared" si="9"/>
        <v>1.7891857735518776E-261</v>
      </c>
      <c r="D53">
        <f t="shared" si="10"/>
        <v>4.8471400441938214E-73</v>
      </c>
      <c r="E53">
        <f t="shared" si="11"/>
        <v>3.1111544583745458E-25</v>
      </c>
      <c r="F53">
        <f t="shared" si="12"/>
        <v>3.9676643083644549E-10</v>
      </c>
      <c r="G53">
        <f t="shared" si="13"/>
        <v>1.1613749160600103E-4</v>
      </c>
      <c r="I53">
        <f t="shared" si="14"/>
        <v>0</v>
      </c>
      <c r="J53">
        <f t="shared" si="15"/>
        <v>8.8316880929529452E-263</v>
      </c>
      <c r="K53">
        <f t="shared" si="16"/>
        <v>8.169287666613377E-74</v>
      </c>
      <c r="L53">
        <f t="shared" si="17"/>
        <v>1.1528781063944089E-25</v>
      </c>
      <c r="M53">
        <f t="shared" si="18"/>
        <v>1.6524985775235707E-10</v>
      </c>
      <c r="N53">
        <f t="shared" si="19"/>
        <v>1.5136673598139581E-5</v>
      </c>
      <c r="P53">
        <f t="shared" si="20"/>
        <v>1.5136838847997334E-5</v>
      </c>
      <c r="R53">
        <f t="shared" si="21"/>
        <v>2.7960276847757653E-5</v>
      </c>
      <c r="T53">
        <f t="shared" si="22"/>
        <v>3.6259143950480512E-11</v>
      </c>
    </row>
    <row r="54" spans="1:20" x14ac:dyDescent="0.25">
      <c r="A54">
        <v>-2.0000000000000102</v>
      </c>
      <c r="B54">
        <f t="shared" si="8"/>
        <v>0</v>
      </c>
      <c r="C54">
        <f t="shared" si="9"/>
        <v>4.2634843282466857E-237</v>
      </c>
      <c r="D54">
        <f t="shared" si="10"/>
        <v>3.2012697159812579E-66</v>
      </c>
      <c r="E54">
        <f t="shared" si="11"/>
        <v>6.850456960442467E-23</v>
      </c>
      <c r="F54">
        <f t="shared" si="12"/>
        <v>3.2233831353661963E-9</v>
      </c>
      <c r="G54">
        <f t="shared" si="13"/>
        <v>2.7521294326909981E-4</v>
      </c>
      <c r="I54">
        <f t="shared" si="14"/>
        <v>0</v>
      </c>
      <c r="J54">
        <f t="shared" si="15"/>
        <v>2.1045195156854941E-238</v>
      </c>
      <c r="K54">
        <f t="shared" si="16"/>
        <v>5.3953657145918562E-67</v>
      </c>
      <c r="L54">
        <f t="shared" si="17"/>
        <v>2.5385245104859129E-23</v>
      </c>
      <c r="M54">
        <f t="shared" si="18"/>
        <v>1.3425117731801874E-9</v>
      </c>
      <c r="N54">
        <f t="shared" si="19"/>
        <v>3.5869626893443384E-5</v>
      </c>
      <c r="P54">
        <f t="shared" si="20"/>
        <v>3.5870969405216562E-5</v>
      </c>
      <c r="R54">
        <f t="shared" si="21"/>
        <v>5.0946946108422586E-5</v>
      </c>
      <c r="T54">
        <f t="shared" si="22"/>
        <v>4.5457014711122629E-11</v>
      </c>
    </row>
    <row r="55" spans="1:20" x14ac:dyDescent="0.25">
      <c r="A55">
        <v>-1.9000000000000099</v>
      </c>
      <c r="B55">
        <f t="shared" si="8"/>
        <v>0</v>
      </c>
      <c r="C55">
        <f t="shared" si="9"/>
        <v>6.572742614600952E-214</v>
      </c>
      <c r="D55">
        <f t="shared" si="10"/>
        <v>9.8284267196759776E-60</v>
      </c>
      <c r="E55">
        <f t="shared" si="11"/>
        <v>1.1594037041697421E-20</v>
      </c>
      <c r="F55">
        <f t="shared" si="12"/>
        <v>2.3643380511226733E-8</v>
      </c>
      <c r="G55">
        <f t="shared" si="13"/>
        <v>6.2529851073589091E-4</v>
      </c>
      <c r="I55">
        <f t="shared" si="14"/>
        <v>0</v>
      </c>
      <c r="J55">
        <f t="shared" si="15"/>
        <v>3.2444038816706203E-215</v>
      </c>
      <c r="K55">
        <f t="shared" si="16"/>
        <v>1.6564663791680567E-60</v>
      </c>
      <c r="L55">
        <f t="shared" si="17"/>
        <v>4.2963188259969022E-21</v>
      </c>
      <c r="M55">
        <f t="shared" si="18"/>
        <v>9.8472677187643272E-9</v>
      </c>
      <c r="N55">
        <f t="shared" si="19"/>
        <v>8.149770868585636E-5</v>
      </c>
      <c r="P55">
        <f t="shared" si="20"/>
        <v>8.1507555953575132E-5</v>
      </c>
      <c r="R55">
        <f t="shared" si="21"/>
        <v>9.2831388326639012E-5</v>
      </c>
      <c r="T55">
        <f t="shared" si="22"/>
        <v>2.3145366920191785E-11</v>
      </c>
    </row>
    <row r="56" spans="1:20" x14ac:dyDescent="0.25">
      <c r="A56">
        <v>-1.80000000000001</v>
      </c>
      <c r="B56">
        <f t="shared" ref="B56:B87" si="23">GCIA(K$14,$A56)</f>
        <v>0</v>
      </c>
      <c r="C56">
        <f t="shared" ref="C56:C87" si="24">GCIA(L$14,$A56)</f>
        <v>6.5554317622490457E-192</v>
      </c>
      <c r="D56">
        <f t="shared" ref="D56:D87" si="25">GCIA(M$14,$A56)</f>
        <v>1.4027193266530768E-53</v>
      </c>
      <c r="E56">
        <f t="shared" ref="E56:E87" si="26">GCIA(N$14,$A56)</f>
        <v>1.5082279934264194E-18</v>
      </c>
      <c r="F56">
        <f t="shared" ref="F56:F87" si="27">GCIA(O$14,$A56)</f>
        <v>1.5657695674594678E-7</v>
      </c>
      <c r="G56">
        <f t="shared" ref="G56:G87" si="28">GCIA(P$14,$A56)</f>
        <v>1.3621598020899656E-3</v>
      </c>
      <c r="I56">
        <f t="shared" ref="I56:I87" si="29">K$15*B56</f>
        <v>0</v>
      </c>
      <c r="J56">
        <f t="shared" ref="J56:J87" si="30">L$15*C56</f>
        <v>3.2358589865090802E-193</v>
      </c>
      <c r="K56">
        <f t="shared" ref="K56:K87" si="31">M$15*D56</f>
        <v>2.3641193756457895E-54</v>
      </c>
      <c r="L56">
        <f t="shared" ref="L56:L87" si="32">N$15*E56</f>
        <v>5.5889318783000715E-19</v>
      </c>
      <c r="M56">
        <f t="shared" ref="M56:M87" si="33">O$15*F56</f>
        <v>6.5212976246547794E-8</v>
      </c>
      <c r="N56">
        <f t="shared" ref="N56:N87" si="34">P$15*G56</f>
        <v>1.7753585020323292E-4</v>
      </c>
      <c r="P56">
        <f t="shared" si="20"/>
        <v>1.7760106317948004E-4</v>
      </c>
      <c r="R56">
        <f t="shared" si="21"/>
        <v>1.6914981793632059E-4</v>
      </c>
      <c r="T56">
        <f t="shared" si="22"/>
        <v>1.1570614477924198E-11</v>
      </c>
    </row>
    <row r="57" spans="1:20" x14ac:dyDescent="0.25">
      <c r="A57">
        <v>-1.7000000000000099</v>
      </c>
      <c r="B57">
        <f t="shared" si="23"/>
        <v>0</v>
      </c>
      <c r="C57">
        <f t="shared" si="24"/>
        <v>4.2298863276107571E-171</v>
      </c>
      <c r="D57">
        <f t="shared" si="25"/>
        <v>9.3064188905035454E-48</v>
      </c>
      <c r="E57">
        <f t="shared" si="26"/>
        <v>1.5080525771236226E-16</v>
      </c>
      <c r="F57">
        <f t="shared" si="27"/>
        <v>9.3619594906888808E-7</v>
      </c>
      <c r="G57">
        <f t="shared" si="28"/>
        <v>2.845056213233567E-3</v>
      </c>
      <c r="I57">
        <f t="shared" si="29"/>
        <v>0</v>
      </c>
      <c r="J57">
        <f t="shared" si="30"/>
        <v>2.0879350409736093E-172</v>
      </c>
      <c r="K57">
        <f t="shared" si="31"/>
        <v>1.5684880644948063E-48</v>
      </c>
      <c r="L57">
        <f t="shared" si="32"/>
        <v>5.5882818507372978E-17</v>
      </c>
      <c r="M57">
        <f t="shared" si="33"/>
        <v>3.8991768302026405E-7</v>
      </c>
      <c r="N57">
        <f t="shared" si="34"/>
        <v>3.7080779576481127E-4</v>
      </c>
      <c r="P57">
        <f t="shared" si="20"/>
        <v>3.7119771344788739E-4</v>
      </c>
      <c r="R57">
        <f t="shared" si="21"/>
        <v>3.082110633444019E-4</v>
      </c>
      <c r="T57">
        <f t="shared" si="22"/>
        <v>5.7327746418691908E-10</v>
      </c>
    </row>
    <row r="58" spans="1:20" x14ac:dyDescent="0.25">
      <c r="A58">
        <v>-1.6000000000000101</v>
      </c>
      <c r="B58">
        <f t="shared" si="23"/>
        <v>0</v>
      </c>
      <c r="C58">
        <f t="shared" si="24"/>
        <v>1.7657483624517228E-151</v>
      </c>
      <c r="D58">
        <f t="shared" si="25"/>
        <v>2.8702481891667952E-42</v>
      </c>
      <c r="E58">
        <f t="shared" si="26"/>
        <v>1.1589992136174705E-14</v>
      </c>
      <c r="F58">
        <f t="shared" si="27"/>
        <v>5.0538960051403599E-6</v>
      </c>
      <c r="G58">
        <f t="shared" si="28"/>
        <v>5.6973876476681855E-3</v>
      </c>
      <c r="I58">
        <f t="shared" si="29"/>
        <v>0</v>
      </c>
      <c r="J58">
        <f t="shared" si="30"/>
        <v>8.7159975326977277E-153</v>
      </c>
      <c r="K58">
        <f t="shared" si="31"/>
        <v>4.8374676444446617E-43</v>
      </c>
      <c r="L58">
        <f t="shared" si="32"/>
        <v>4.2948199344818823E-15</v>
      </c>
      <c r="M58">
        <f t="shared" si="33"/>
        <v>2.1049048786310172E-6</v>
      </c>
      <c r="N58">
        <f t="shared" si="34"/>
        <v>7.4256380082148639E-4</v>
      </c>
      <c r="P58">
        <f t="shared" si="20"/>
        <v>7.446687057044122E-4</v>
      </c>
      <c r="R58">
        <f t="shared" si="21"/>
        <v>5.6159717300818454E-4</v>
      </c>
      <c r="T58">
        <f t="shared" si="22"/>
        <v>4.2899438187195375E-9</v>
      </c>
    </row>
    <row r="59" spans="1:20" x14ac:dyDescent="0.25">
      <c r="A59">
        <v>-1.50000000000001</v>
      </c>
      <c r="B59">
        <f t="shared" si="23"/>
        <v>0</v>
      </c>
      <c r="C59">
        <f t="shared" si="24"/>
        <v>4.7687180779416395E-133</v>
      </c>
      <c r="D59">
        <f t="shared" si="25"/>
        <v>4.1151090238222873E-37</v>
      </c>
      <c r="E59">
        <f t="shared" si="26"/>
        <v>6.8464741330977886E-13</v>
      </c>
      <c r="F59">
        <f t="shared" si="27"/>
        <v>2.4632385821402781E-5</v>
      </c>
      <c r="G59">
        <f t="shared" si="28"/>
        <v>1.0939130763523075E-2</v>
      </c>
      <c r="I59">
        <f t="shared" si="29"/>
        <v>0</v>
      </c>
      <c r="J59">
        <f t="shared" si="30"/>
        <v>2.3539104373716663E-134</v>
      </c>
      <c r="K59">
        <f t="shared" si="31"/>
        <v>6.93553499353702E-38</v>
      </c>
      <c r="L59">
        <f t="shared" si="32"/>
        <v>2.5370486228343468E-13</v>
      </c>
      <c r="M59">
        <f t="shared" si="33"/>
        <v>1.0259180053379873E-5</v>
      </c>
      <c r="N59">
        <f t="shared" si="34"/>
        <v>1.4257415889139136E-3</v>
      </c>
      <c r="P59">
        <f t="shared" si="20"/>
        <v>1.4360007692209983E-3</v>
      </c>
      <c r="R59">
        <f t="shared" si="21"/>
        <v>1.0232967671843741E-3</v>
      </c>
      <c r="T59">
        <f t="shared" si="22"/>
        <v>1.916151674591792E-8</v>
      </c>
    </row>
    <row r="60" spans="1:20" x14ac:dyDescent="0.25">
      <c r="A60">
        <v>-1.4000000000000099</v>
      </c>
      <c r="B60">
        <f t="shared" si="23"/>
        <v>0</v>
      </c>
      <c r="C60">
        <f t="shared" si="24"/>
        <v>8.3319605374200961E-116</v>
      </c>
      <c r="D60">
        <f t="shared" si="25"/>
        <v>2.7426366731139265E-32</v>
      </c>
      <c r="E60">
        <f t="shared" si="26"/>
        <v>3.1086224155978227E-11</v>
      </c>
      <c r="F60">
        <f t="shared" si="27"/>
        <v>1.0839451072024582E-4</v>
      </c>
      <c r="G60">
        <f t="shared" si="28"/>
        <v>2.0137798183322099E-2</v>
      </c>
      <c r="I60">
        <f t="shared" si="29"/>
        <v>0</v>
      </c>
      <c r="J60">
        <f t="shared" si="30"/>
        <v>4.112780112442207E-117</v>
      </c>
      <c r="K60">
        <f t="shared" si="31"/>
        <v>4.6223933584319656E-33</v>
      </c>
      <c r="L60">
        <f t="shared" si="32"/>
        <v>1.1519398255341061E-11</v>
      </c>
      <c r="M60">
        <f t="shared" si="33"/>
        <v>4.5145395591797678E-5</v>
      </c>
      <c r="N60">
        <f t="shared" si="34"/>
        <v>2.6246414820139297E-3</v>
      </c>
      <c r="P60">
        <f t="shared" si="20"/>
        <v>2.6697868891251255E-3</v>
      </c>
      <c r="R60">
        <f t="shared" si="21"/>
        <v>1.8645682778654804E-3</v>
      </c>
      <c r="T60">
        <f t="shared" si="22"/>
        <v>6.3540947168054215E-8</v>
      </c>
    </row>
    <row r="61" spans="1:20" x14ac:dyDescent="0.25">
      <c r="A61">
        <v>-1.30000000000001</v>
      </c>
      <c r="B61">
        <f t="shared" si="23"/>
        <v>0</v>
      </c>
      <c r="C61">
        <f t="shared" si="24"/>
        <v>9.4181473494758053E-100</v>
      </c>
      <c r="D61">
        <f t="shared" si="25"/>
        <v>8.4972862981221271E-28</v>
      </c>
      <c r="E61">
        <f t="shared" si="26"/>
        <v>1.0848911067206769E-9</v>
      </c>
      <c r="F61">
        <f t="shared" si="27"/>
        <v>4.3065424659428605E-4</v>
      </c>
      <c r="G61">
        <f t="shared" si="28"/>
        <v>3.5543752868948106E-2</v>
      </c>
      <c r="I61">
        <f t="shared" si="29"/>
        <v>0</v>
      </c>
      <c r="J61">
        <f t="shared" si="30"/>
        <v>4.648938138990297E-101</v>
      </c>
      <c r="K61">
        <f t="shared" si="31"/>
        <v>1.4321182289354993E-28</v>
      </c>
      <c r="L61">
        <f t="shared" si="32"/>
        <v>4.0202028587604553E-10</v>
      </c>
      <c r="M61">
        <f t="shared" si="33"/>
        <v>1.7936384597892063E-4</v>
      </c>
      <c r="N61">
        <f t="shared" si="34"/>
        <v>4.632562475651099E-3</v>
      </c>
      <c r="P61">
        <f t="shared" si="20"/>
        <v>4.8119267236503057E-3</v>
      </c>
      <c r="R61">
        <f t="shared" si="21"/>
        <v>3.3974649137104422E-3</v>
      </c>
      <c r="T61">
        <f t="shared" si="22"/>
        <v>1.6905933689527357E-7</v>
      </c>
    </row>
    <row r="62" spans="1:20" x14ac:dyDescent="0.25">
      <c r="A62">
        <v>-1.2000000000000099</v>
      </c>
      <c r="B62">
        <f t="shared" si="23"/>
        <v>0</v>
      </c>
      <c r="C62">
        <f t="shared" si="24"/>
        <v>6.8874185752594745E-85</v>
      </c>
      <c r="D62">
        <f t="shared" si="25"/>
        <v>1.2238192003015204E-23</v>
      </c>
      <c r="E62">
        <f t="shared" si="26"/>
        <v>2.9101910195682143E-8</v>
      </c>
      <c r="F62">
        <f t="shared" si="27"/>
        <v>1.5447948484357088E-3</v>
      </c>
      <c r="G62">
        <f t="shared" si="28"/>
        <v>6.0150148427420995E-2</v>
      </c>
      <c r="I62">
        <f t="shared" si="29"/>
        <v>0</v>
      </c>
      <c r="J62">
        <f t="shared" si="30"/>
        <v>3.3997326337749542E-86</v>
      </c>
      <c r="K62">
        <f t="shared" si="31"/>
        <v>2.0626041352289179E-24</v>
      </c>
      <c r="L62">
        <f t="shared" si="32"/>
        <v>1.078408531872995E-8</v>
      </c>
      <c r="M62">
        <f t="shared" si="33"/>
        <v>6.4339396965214745E-4</v>
      </c>
      <c r="N62">
        <f t="shared" si="34"/>
        <v>7.8396145037669708E-3</v>
      </c>
      <c r="P62">
        <f t="shared" si="20"/>
        <v>8.4830192575044375E-3</v>
      </c>
      <c r="R62">
        <f t="shared" si="21"/>
        <v>6.1905846929389179E-3</v>
      </c>
      <c r="T62">
        <f t="shared" si="22"/>
        <v>3.7837844876266493E-7</v>
      </c>
    </row>
    <row r="63" spans="1:20" x14ac:dyDescent="0.25">
      <c r="A63">
        <v>-1.1000000000000101</v>
      </c>
      <c r="B63">
        <f t="shared" si="23"/>
        <v>0</v>
      </c>
      <c r="C63">
        <f t="shared" si="24"/>
        <v>3.2585185265755245E-71</v>
      </c>
      <c r="D63">
        <f t="shared" si="25"/>
        <v>8.1936859267291657E-20</v>
      </c>
      <c r="E63">
        <f t="shared" si="26"/>
        <v>6.0003145202648262E-7</v>
      </c>
      <c r="F63">
        <f t="shared" si="27"/>
        <v>5.0030348103599293E-3</v>
      </c>
      <c r="G63">
        <f t="shared" si="28"/>
        <v>9.7596052559003402E-2</v>
      </c>
      <c r="I63">
        <f t="shared" si="29"/>
        <v>0</v>
      </c>
      <c r="J63">
        <f t="shared" si="30"/>
        <v>1.6084533924441697E-72</v>
      </c>
      <c r="K63">
        <f t="shared" si="31"/>
        <v>1.3809499369739191E-20</v>
      </c>
      <c r="L63">
        <f t="shared" si="32"/>
        <v>2.2234933477098963E-7</v>
      </c>
      <c r="M63">
        <f t="shared" si="33"/>
        <v>2.0837216218094596E-3</v>
      </c>
      <c r="N63">
        <f t="shared" si="34"/>
        <v>1.2720092122053168E-2</v>
      </c>
      <c r="P63">
        <f t="shared" si="20"/>
        <v>1.4804036093197399E-2</v>
      </c>
      <c r="R63">
        <f t="shared" si="21"/>
        <v>1.1279980754413705E-2</v>
      </c>
      <c r="T63">
        <f t="shared" si="22"/>
        <v>7.5134744486400998E-7</v>
      </c>
    </row>
    <row r="64" spans="1:20" x14ac:dyDescent="0.25">
      <c r="A64">
        <v>-1.00000000000001</v>
      </c>
      <c r="B64">
        <f t="shared" si="23"/>
        <v>0</v>
      </c>
      <c r="C64">
        <f t="shared" si="24"/>
        <v>9.9737075998860939E-59</v>
      </c>
      <c r="D64">
        <f t="shared" si="25"/>
        <v>2.5501539697700138E-16</v>
      </c>
      <c r="E64">
        <f t="shared" si="26"/>
        <v>9.509193986976371E-6</v>
      </c>
      <c r="F64">
        <f t="shared" si="27"/>
        <v>1.4629075137562869E-2</v>
      </c>
      <c r="G64">
        <f t="shared" si="28"/>
        <v>0.15182732042226124</v>
      </c>
      <c r="I64">
        <f t="shared" si="29"/>
        <v>0</v>
      </c>
      <c r="J64">
        <f t="shared" si="30"/>
        <v>4.9231709727740176E-60</v>
      </c>
      <c r="K64">
        <f t="shared" si="31"/>
        <v>4.2979862729904394E-17</v>
      </c>
      <c r="L64">
        <f t="shared" si="32"/>
        <v>3.5237535467043692E-6</v>
      </c>
      <c r="M64">
        <f t="shared" si="33"/>
        <v>6.0928858836027042E-3</v>
      </c>
      <c r="N64">
        <f t="shared" si="34"/>
        <v>1.9788274748592644E-2</v>
      </c>
      <c r="P64">
        <f t="shared" si="20"/>
        <v>2.5884684385742096E-2</v>
      </c>
      <c r="R64">
        <f t="shared" si="21"/>
        <v>2.0553465000660322E-2</v>
      </c>
      <c r="T64">
        <f t="shared" si="22"/>
        <v>1.4210950065936127E-6</v>
      </c>
    </row>
    <row r="65" spans="1:20" x14ac:dyDescent="0.25">
      <c r="A65">
        <v>-0.90000000000001001</v>
      </c>
      <c r="B65">
        <f t="shared" si="23"/>
        <v>2.1930372458697671E-261</v>
      </c>
      <c r="C65">
        <f t="shared" si="24"/>
        <v>1.9749940398129698E-47</v>
      </c>
      <c r="D65">
        <f t="shared" si="25"/>
        <v>3.6895935899705864E-13</v>
      </c>
      <c r="E65">
        <f t="shared" si="26"/>
        <v>1.1583253762681126E-4</v>
      </c>
      <c r="F65">
        <f t="shared" si="27"/>
        <v>3.862076305295388E-2</v>
      </c>
      <c r="G65">
        <f t="shared" si="28"/>
        <v>0.22645907473684412</v>
      </c>
      <c r="I65">
        <f t="shared" si="29"/>
        <v>2.0096107950346682E-263</v>
      </c>
      <c r="J65">
        <f t="shared" si="30"/>
        <v>9.7488654352769991E-49</v>
      </c>
      <c r="K65">
        <f t="shared" si="31"/>
        <v>6.2183784942354829E-14</v>
      </c>
      <c r="L65">
        <f t="shared" si="32"/>
        <v>4.2923229439346776E-5</v>
      </c>
      <c r="M65">
        <f t="shared" si="33"/>
        <v>1.6085220685968078E-2</v>
      </c>
      <c r="N65">
        <f t="shared" si="34"/>
        <v>2.9515336091960026E-2</v>
      </c>
      <c r="P65">
        <f t="shared" si="20"/>
        <v>4.5643480007429633E-2</v>
      </c>
      <c r="R65">
        <f t="shared" si="21"/>
        <v>3.7450854990871515E-2</v>
      </c>
      <c r="T65">
        <f t="shared" si="22"/>
        <v>2.7183237388083835E-6</v>
      </c>
    </row>
    <row r="66" spans="1:20" x14ac:dyDescent="0.25">
      <c r="A66">
        <v>-0.80000000000001004</v>
      </c>
      <c r="B66">
        <f t="shared" si="23"/>
        <v>2.9419030109840883E-206</v>
      </c>
      <c r="C66">
        <f t="shared" si="24"/>
        <v>2.5301581447497456E-37</v>
      </c>
      <c r="D66">
        <f t="shared" si="25"/>
        <v>2.4815081096545192E-10</v>
      </c>
      <c r="E66">
        <f t="shared" si="26"/>
        <v>1.0845126119813113E-3</v>
      </c>
      <c r="F66">
        <f t="shared" si="27"/>
        <v>9.2054593268766055E-2</v>
      </c>
      <c r="G66">
        <f t="shared" si="28"/>
        <v>0.323855782590934</v>
      </c>
      <c r="I66">
        <f t="shared" si="29"/>
        <v>2.6958411490516497E-208</v>
      </c>
      <c r="J66">
        <f t="shared" si="30"/>
        <v>1.2489238339914808E-38</v>
      </c>
      <c r="K66">
        <f t="shared" si="31"/>
        <v>4.18229170396776E-11</v>
      </c>
      <c r="L66">
        <f t="shared" si="32"/>
        <v>4.0188002980575446E-4</v>
      </c>
      <c r="M66">
        <f t="shared" si="33"/>
        <v>3.8339958375625156E-2</v>
      </c>
      <c r="N66">
        <f t="shared" si="34"/>
        <v>4.2209446804478107E-2</v>
      </c>
      <c r="P66">
        <f t="shared" si="20"/>
        <v>8.0951285251731925E-2</v>
      </c>
      <c r="R66">
        <f t="shared" si="21"/>
        <v>6.8239906969565695E-2</v>
      </c>
      <c r="T66">
        <f t="shared" si="22"/>
        <v>5.1705324106346042E-6</v>
      </c>
    </row>
    <row r="67" spans="1:20" x14ac:dyDescent="0.25">
      <c r="A67">
        <v>-0.70000000000002005</v>
      </c>
      <c r="B67">
        <f t="shared" si="23"/>
        <v>1.2900685001870054E-157</v>
      </c>
      <c r="C67">
        <f t="shared" si="24"/>
        <v>2.0970185160135864E-28</v>
      </c>
      <c r="D67">
        <f t="shared" si="25"/>
        <v>7.7585025219428015E-8</v>
      </c>
      <c r="E67">
        <f t="shared" si="26"/>
        <v>7.8046928289887008E-3</v>
      </c>
      <c r="F67">
        <f t="shared" si="27"/>
        <v>0.19810284406180056</v>
      </c>
      <c r="G67">
        <f t="shared" si="28"/>
        <v>0.44405392137154043</v>
      </c>
      <c r="I67">
        <f t="shared" si="29"/>
        <v>1.1821666910548891E-159</v>
      </c>
      <c r="J67">
        <f t="shared" si="30"/>
        <v>1.0351196467325393E-29</v>
      </c>
      <c r="K67">
        <f t="shared" si="31"/>
        <v>1.3076048636106147E-8</v>
      </c>
      <c r="L67">
        <f t="shared" si="32"/>
        <v>2.8921288255085663E-3</v>
      </c>
      <c r="M67">
        <f t="shared" si="33"/>
        <v>8.2508156581030154E-2</v>
      </c>
      <c r="N67">
        <f t="shared" si="34"/>
        <v>5.787536113297314E-2</v>
      </c>
      <c r="P67">
        <f t="shared" si="20"/>
        <v>0.14327565961556049</v>
      </c>
      <c r="R67">
        <f t="shared" si="21"/>
        <v>0.12434121742613752</v>
      </c>
      <c r="T67">
        <f t="shared" si="22"/>
        <v>8.7835709751032189E-6</v>
      </c>
    </row>
    <row r="68" spans="1:20" x14ac:dyDescent="0.25">
      <c r="A68">
        <v>-0.60000000000001996</v>
      </c>
      <c r="B68">
        <f t="shared" si="23"/>
        <v>1.8492655053813234E-115</v>
      </c>
      <c r="C68">
        <f t="shared" si="24"/>
        <v>1.1244226452415309E-20</v>
      </c>
      <c r="D68">
        <f t="shared" si="25"/>
        <v>1.12762618324027E-5</v>
      </c>
      <c r="E68">
        <f t="shared" si="26"/>
        <v>4.3171207453928953E-2</v>
      </c>
      <c r="F68">
        <f t="shared" si="27"/>
        <v>0.38490769304985506</v>
      </c>
      <c r="G68">
        <f t="shared" si="28"/>
        <v>0.58377015675438848</v>
      </c>
      <c r="I68">
        <f t="shared" si="29"/>
        <v>1.6945922507693882E-117</v>
      </c>
      <c r="J68">
        <f t="shared" si="30"/>
        <v>5.5503180464665956E-22</v>
      </c>
      <c r="K68">
        <f t="shared" si="31"/>
        <v>1.9004820548417188E-6</v>
      </c>
      <c r="L68">
        <f t="shared" si="32"/>
        <v>1.5997643500557421E-2</v>
      </c>
      <c r="M68">
        <f t="shared" si="33"/>
        <v>0.16031079391012296</v>
      </c>
      <c r="N68">
        <f t="shared" si="34"/>
        <v>7.6085148705496652E-2</v>
      </c>
      <c r="P68">
        <f t="shared" si="20"/>
        <v>0.25239548659823186</v>
      </c>
      <c r="R68">
        <f t="shared" si="21"/>
        <v>0.22656446993560925</v>
      </c>
      <c r="T68">
        <f t="shared" si="22"/>
        <v>1.2010345592845162E-5</v>
      </c>
    </row>
    <row r="69" spans="1:20" x14ac:dyDescent="0.25">
      <c r="A69">
        <v>-0.50000000000001998</v>
      </c>
      <c r="B69">
        <f t="shared" si="23"/>
        <v>8.6653846147932462E-80</v>
      </c>
      <c r="C69">
        <f t="shared" si="24"/>
        <v>3.9005838838158307E-14</v>
      </c>
      <c r="D69">
        <f t="shared" si="25"/>
        <v>7.6186397191899471E-4</v>
      </c>
      <c r="E69">
        <f t="shared" si="26"/>
        <v>0.18354803873822118</v>
      </c>
      <c r="F69">
        <f t="shared" si="27"/>
        <v>0.67521659233732478</v>
      </c>
      <c r="G69">
        <f t="shared" si="28"/>
        <v>0.73581764048541232</v>
      </c>
      <c r="I69">
        <f t="shared" si="29"/>
        <v>7.9406086229554015E-82</v>
      </c>
      <c r="J69">
        <f t="shared" si="30"/>
        <v>1.9253864384285293E-15</v>
      </c>
      <c r="K69">
        <f t="shared" si="31"/>
        <v>1.2840326239160857E-4</v>
      </c>
      <c r="L69">
        <f t="shared" si="32"/>
        <v>6.801607511427929E-2</v>
      </c>
      <c r="M69">
        <f t="shared" si="33"/>
        <v>0.28122199148891536</v>
      </c>
      <c r="N69">
        <f t="shared" si="34"/>
        <v>9.5902118237289294E-2</v>
      </c>
      <c r="P69">
        <f t="shared" si="20"/>
        <v>0.44526858810287745</v>
      </c>
      <c r="R69">
        <f t="shared" si="21"/>
        <v>0.41282738017018372</v>
      </c>
      <c r="T69">
        <f t="shared" si="22"/>
        <v>1.3155399651654434E-5</v>
      </c>
    </row>
    <row r="70" spans="1:20" x14ac:dyDescent="0.25">
      <c r="A70">
        <v>-0.40000000000002001</v>
      </c>
      <c r="B70">
        <f t="shared" si="23"/>
        <v>1.3273287335421968E-50</v>
      </c>
      <c r="C70">
        <f t="shared" si="24"/>
        <v>8.7539161194876456E-9</v>
      </c>
      <c r="D70">
        <f t="shared" si="25"/>
        <v>2.3928460642347438E-2</v>
      </c>
      <c r="E70">
        <f t="shared" si="26"/>
        <v>0.59982211419831588</v>
      </c>
      <c r="F70">
        <f t="shared" si="27"/>
        <v>1.0694248070680994</v>
      </c>
      <c r="G70">
        <f t="shared" si="28"/>
        <v>0.88924335299704393</v>
      </c>
      <c r="I70">
        <f t="shared" si="29"/>
        <v>1.2163104646351716E-52</v>
      </c>
      <c r="J70">
        <f t="shared" si="30"/>
        <v>4.3210636872944162E-10</v>
      </c>
      <c r="K70">
        <f t="shared" si="31"/>
        <v>4.0328621955276018E-3</v>
      </c>
      <c r="L70">
        <f t="shared" si="32"/>
        <v>0.22227176195930107</v>
      </c>
      <c r="M70">
        <f t="shared" si="33"/>
        <v>0.44540637390186255</v>
      </c>
      <c r="N70">
        <f t="shared" si="34"/>
        <v>0.11589871795488271</v>
      </c>
      <c r="P70">
        <f t="shared" si="20"/>
        <v>0.78760971644368027</v>
      </c>
      <c r="R70">
        <f t="shared" si="21"/>
        <v>0.75222053072405148</v>
      </c>
      <c r="T70">
        <f t="shared" si="22"/>
        <v>1.001915572718803E-5</v>
      </c>
    </row>
    <row r="71" spans="1:20" x14ac:dyDescent="0.25">
      <c r="A71">
        <v>-0.30000000000001997</v>
      </c>
      <c r="B71">
        <f t="shared" si="23"/>
        <v>6.6461666288173905E-28</v>
      </c>
      <c r="C71">
        <f t="shared" si="24"/>
        <v>1.271006758664514E-4</v>
      </c>
      <c r="D71">
        <f t="shared" si="25"/>
        <v>0.34936317340846651</v>
      </c>
      <c r="E71">
        <f t="shared" si="26"/>
        <v>1.5066499809742961</v>
      </c>
      <c r="F71">
        <f t="shared" si="27"/>
        <v>1.5292484043454255</v>
      </c>
      <c r="G71">
        <f t="shared" si="28"/>
        <v>1.0303699538080557</v>
      </c>
      <c r="I71">
        <f t="shared" si="29"/>
        <v>6.0902787802737351E-30</v>
      </c>
      <c r="J71">
        <f t="shared" si="30"/>
        <v>6.2738791144510692E-6</v>
      </c>
      <c r="K71">
        <f t="shared" si="31"/>
        <v>5.8881077040747701E-2</v>
      </c>
      <c r="L71">
        <f t="shared" si="32"/>
        <v>0.55830843511778694</v>
      </c>
      <c r="M71">
        <f t="shared" si="33"/>
        <v>0.63691900737003526</v>
      </c>
      <c r="N71">
        <f t="shared" si="34"/>
        <v>0.13429232421373224</v>
      </c>
      <c r="P71">
        <f t="shared" si="20"/>
        <v>1.3884071176214166</v>
      </c>
      <c r="R71">
        <f t="shared" si="21"/>
        <v>1.3706351710720215</v>
      </c>
      <c r="T71">
        <f t="shared" si="22"/>
        <v>1.4212893786956881E-6</v>
      </c>
    </row>
    <row r="72" spans="1:20" x14ac:dyDescent="0.25">
      <c r="A72">
        <v>-0.20000000000002</v>
      </c>
      <c r="B72">
        <f t="shared" si="23"/>
        <v>1.08784252593722E-11</v>
      </c>
      <c r="C72">
        <f t="shared" si="24"/>
        <v>0.1193894796324622</v>
      </c>
      <c r="D72">
        <f t="shared" si="25"/>
        <v>2.3711800156712717</v>
      </c>
      <c r="E72">
        <f t="shared" si="26"/>
        <v>2.9088373624354427</v>
      </c>
      <c r="F72">
        <f t="shared" si="27"/>
        <v>1.9743604907521608</v>
      </c>
      <c r="G72">
        <f t="shared" si="28"/>
        <v>1.1446899515407414</v>
      </c>
      <c r="I72">
        <f t="shared" si="29"/>
        <v>9.9685497249919552E-14</v>
      </c>
      <c r="J72">
        <f t="shared" si="30"/>
        <v>5.8932429559880569E-3</v>
      </c>
      <c r="K72">
        <f t="shared" si="31"/>
        <v>0.39963466045399154</v>
      </c>
      <c r="L72">
        <f t="shared" si="32"/>
        <v>1.0779069168960413</v>
      </c>
      <c r="M72">
        <f t="shared" si="33"/>
        <v>0.82230442117004621</v>
      </c>
      <c r="N72">
        <f t="shared" si="34"/>
        <v>0.14919211641253591</v>
      </c>
      <c r="P72">
        <f t="shared" si="20"/>
        <v>2.4549313578887029</v>
      </c>
      <c r="R72">
        <f t="shared" si="21"/>
        <v>2.4974601136867909</v>
      </c>
      <c r="T72">
        <f t="shared" si="22"/>
        <v>3.617390139467534E-6</v>
      </c>
    </row>
    <row r="73" spans="1:20" x14ac:dyDescent="0.25">
      <c r="A73">
        <v>-0.10000000000002</v>
      </c>
      <c r="B73">
        <f t="shared" si="23"/>
        <v>5.8205351507963667E-2</v>
      </c>
      <c r="C73">
        <f t="shared" si="24"/>
        <v>7.255326797792427</v>
      </c>
      <c r="D73">
        <f t="shared" si="25"/>
        <v>7.481298228192319</v>
      </c>
      <c r="E73">
        <f t="shared" si="26"/>
        <v>4.3166186373815876</v>
      </c>
      <c r="F73">
        <f t="shared" si="27"/>
        <v>2.3014179767425165</v>
      </c>
      <c r="G73">
        <f t="shared" si="28"/>
        <v>1.2192834563361854</v>
      </c>
      <c r="I73">
        <f t="shared" si="29"/>
        <v>5.3337034261267361E-4</v>
      </c>
      <c r="J73">
        <f t="shared" si="30"/>
        <v>0.35813376250662371</v>
      </c>
      <c r="K73">
        <f t="shared" si="31"/>
        <v>1.2608853218309068</v>
      </c>
      <c r="L73">
        <f t="shared" si="32"/>
        <v>1.5995782875053202</v>
      </c>
      <c r="M73">
        <f t="shared" si="33"/>
        <v>0.95852109384271145</v>
      </c>
      <c r="N73">
        <f t="shared" si="34"/>
        <v>0.15891419253985906</v>
      </c>
      <c r="P73">
        <f t="shared" si="20"/>
        <v>4.3365660285680336</v>
      </c>
      <c r="R73">
        <f t="shared" si="21"/>
        <v>4.5506690263741199</v>
      </c>
      <c r="T73">
        <f t="shared" si="22"/>
        <v>2.292004683478565E-5</v>
      </c>
    </row>
    <row r="74" spans="1:20" x14ac:dyDescent="0.25">
      <c r="A74">
        <v>-2.0428103653102899E-14</v>
      </c>
      <c r="B74">
        <f t="shared" si="23"/>
        <v>101.80330506428257</v>
      </c>
      <c r="C74">
        <f t="shared" si="24"/>
        <v>28.524669342013272</v>
      </c>
      <c r="D74">
        <f t="shared" si="25"/>
        <v>10.972723810178421</v>
      </c>
      <c r="E74">
        <f t="shared" si="26"/>
        <v>4.9236264421972438</v>
      </c>
      <c r="F74">
        <f t="shared" si="27"/>
        <v>2.4220615996938517</v>
      </c>
      <c r="G74">
        <f t="shared" si="28"/>
        <v>1.2452129198034156</v>
      </c>
      <c r="I74">
        <f t="shared" si="29"/>
        <v>0.93288438768056825</v>
      </c>
      <c r="J74">
        <f t="shared" si="30"/>
        <v>1.4080202643416226</v>
      </c>
      <c r="K74">
        <f t="shared" si="31"/>
        <v>1.8493242711033402</v>
      </c>
      <c r="L74">
        <f t="shared" si="32"/>
        <v>1.8245127990975609</v>
      </c>
      <c r="M74">
        <f t="shared" si="33"/>
        <v>1.0087681409263274</v>
      </c>
      <c r="N74">
        <f t="shared" si="34"/>
        <v>0.16229368541206493</v>
      </c>
      <c r="P74">
        <f t="shared" si="20"/>
        <v>7.1858035485614842</v>
      </c>
      <c r="R74">
        <f t="shared" si="21"/>
        <v>8.2918595873110359</v>
      </c>
      <c r="T74">
        <f t="shared" si="22"/>
        <v>2.5525859380157176E-29</v>
      </c>
    </row>
    <row r="75" spans="1:20" x14ac:dyDescent="0.25">
      <c r="A75">
        <v>9.9999999999980105E-2</v>
      </c>
      <c r="B75">
        <f t="shared" si="23"/>
        <v>5.8205351508310452E-2</v>
      </c>
      <c r="C75">
        <f t="shared" si="24"/>
        <v>7.2553267978003513</v>
      </c>
      <c r="D75">
        <f t="shared" si="25"/>
        <v>7.4812982281946052</v>
      </c>
      <c r="E75">
        <f t="shared" si="26"/>
        <v>4.3166186373820405</v>
      </c>
      <c r="F75">
        <f t="shared" si="27"/>
        <v>2.3014179767426106</v>
      </c>
      <c r="G75">
        <f t="shared" si="28"/>
        <v>1.2192834563362058</v>
      </c>
      <c r="I75">
        <f t="shared" si="29"/>
        <v>5.333703426158514E-4</v>
      </c>
      <c r="J75">
        <f t="shared" si="30"/>
        <v>0.35813376250701484</v>
      </c>
      <c r="K75">
        <f t="shared" si="31"/>
        <v>1.2608853218312921</v>
      </c>
      <c r="L75">
        <f t="shared" si="32"/>
        <v>1.599578287505488</v>
      </c>
      <c r="M75">
        <f t="shared" si="33"/>
        <v>0.95852109384275064</v>
      </c>
      <c r="N75">
        <f t="shared" si="34"/>
        <v>0.15891419253986172</v>
      </c>
      <c r="P75">
        <f t="shared" si="20"/>
        <v>4.3365660285690231</v>
      </c>
      <c r="R75">
        <f t="shared" si="21"/>
        <v>4.5506690263752096</v>
      </c>
      <c r="T75">
        <f t="shared" si="22"/>
        <v>2.2920046834788845E-5</v>
      </c>
    </row>
    <row r="76" spans="1:20" x14ac:dyDescent="0.25">
      <c r="A76">
        <v>0.19999999999998</v>
      </c>
      <c r="B76">
        <f t="shared" si="23"/>
        <v>1.0878425259502133E-11</v>
      </c>
      <c r="C76">
        <f t="shared" si="24"/>
        <v>0.11938947963272369</v>
      </c>
      <c r="D76">
        <f t="shared" si="25"/>
        <v>2.3711800156727247</v>
      </c>
      <c r="E76">
        <f t="shared" si="26"/>
        <v>2.9088373624360551</v>
      </c>
      <c r="F76">
        <f t="shared" si="27"/>
        <v>1.9743604907523222</v>
      </c>
      <c r="G76">
        <f t="shared" si="28"/>
        <v>1.14468995154078</v>
      </c>
      <c r="I76">
        <f t="shared" si="29"/>
        <v>9.9685497251110215E-14</v>
      </c>
      <c r="J76">
        <f t="shared" si="30"/>
        <v>5.8932429560009641E-3</v>
      </c>
      <c r="K76">
        <f t="shared" si="31"/>
        <v>0.39963466045423646</v>
      </c>
      <c r="L76">
        <f t="shared" si="32"/>
        <v>1.0779069168962683</v>
      </c>
      <c r="M76">
        <f t="shared" si="33"/>
        <v>0.82230442117011338</v>
      </c>
      <c r="N76">
        <f t="shared" si="34"/>
        <v>0.14919211641254093</v>
      </c>
      <c r="P76">
        <f t="shared" si="20"/>
        <v>2.4549313578892598</v>
      </c>
      <c r="R76">
        <f t="shared" si="21"/>
        <v>2.4974601136873904</v>
      </c>
      <c r="T76">
        <f t="shared" si="22"/>
        <v>3.6173901394733392E-6</v>
      </c>
    </row>
    <row r="77" spans="1:20" x14ac:dyDescent="0.25">
      <c r="A77">
        <v>0.29999999999998</v>
      </c>
      <c r="B77">
        <f t="shared" si="23"/>
        <v>6.6461666289363946E-28</v>
      </c>
      <c r="C77">
        <f t="shared" si="24"/>
        <v>1.2710067586686866E-4</v>
      </c>
      <c r="D77">
        <f t="shared" si="25"/>
        <v>0.34936317340878753</v>
      </c>
      <c r="E77">
        <f t="shared" si="26"/>
        <v>1.5066499809747718</v>
      </c>
      <c r="F77">
        <f t="shared" si="27"/>
        <v>1.5292484043456129</v>
      </c>
      <c r="G77">
        <f t="shared" si="28"/>
        <v>1.0303699538081079</v>
      </c>
      <c r="I77">
        <f t="shared" si="29"/>
        <v>6.0902787803827855E-30</v>
      </c>
      <c r="J77">
        <f t="shared" si="30"/>
        <v>6.2738791144716657E-6</v>
      </c>
      <c r="K77">
        <f t="shared" si="31"/>
        <v>5.8881077040801803E-2</v>
      </c>
      <c r="L77">
        <f t="shared" si="32"/>
        <v>0.55830843511796313</v>
      </c>
      <c r="M77">
        <f t="shared" si="33"/>
        <v>0.63691900737011331</v>
      </c>
      <c r="N77">
        <f t="shared" si="34"/>
        <v>0.13429232421373904</v>
      </c>
      <c r="P77">
        <f t="shared" si="20"/>
        <v>1.3884071176217316</v>
      </c>
      <c r="R77">
        <f t="shared" si="21"/>
        <v>1.3706351710723501</v>
      </c>
      <c r="T77">
        <f t="shared" si="22"/>
        <v>1.4212893786931428E-6</v>
      </c>
    </row>
    <row r="78" spans="1:20" x14ac:dyDescent="0.25">
      <c r="A78">
        <v>0.39999999999997998</v>
      </c>
      <c r="B78">
        <f t="shared" si="23"/>
        <v>1.3273287335739236E-50</v>
      </c>
      <c r="C78">
        <f t="shared" si="24"/>
        <v>8.7539161195260234E-9</v>
      </c>
      <c r="D78">
        <f t="shared" si="25"/>
        <v>2.3928460642376789E-2</v>
      </c>
      <c r="E78">
        <f t="shared" si="26"/>
        <v>0.59982211419856857</v>
      </c>
      <c r="F78">
        <f t="shared" si="27"/>
        <v>1.0694248070682741</v>
      </c>
      <c r="G78">
        <f t="shared" si="28"/>
        <v>0.88924335299710378</v>
      </c>
      <c r="I78">
        <f t="shared" si="29"/>
        <v>1.2163104646642447E-52</v>
      </c>
      <c r="J78">
        <f t="shared" si="30"/>
        <v>4.3210636873133601E-10</v>
      </c>
      <c r="K78">
        <f t="shared" si="31"/>
        <v>4.0328621955325493E-3</v>
      </c>
      <c r="L78">
        <f t="shared" si="32"/>
        <v>0.22227176195939469</v>
      </c>
      <c r="M78">
        <f t="shared" si="33"/>
        <v>0.44540637390193533</v>
      </c>
      <c r="N78">
        <f t="shared" si="34"/>
        <v>0.11589871795489051</v>
      </c>
      <c r="P78">
        <f t="shared" si="20"/>
        <v>0.78760971644385935</v>
      </c>
      <c r="R78">
        <f t="shared" si="21"/>
        <v>0.75222053072423223</v>
      </c>
      <c r="T78">
        <f t="shared" si="22"/>
        <v>1.0019155727185082E-5</v>
      </c>
    </row>
    <row r="79" spans="1:20" x14ac:dyDescent="0.25">
      <c r="A79">
        <v>0.49999999999998002</v>
      </c>
      <c r="B79">
        <f t="shared" si="23"/>
        <v>8.6653846150518455E-80</v>
      </c>
      <c r="C79">
        <f t="shared" si="24"/>
        <v>3.9005838838371716E-14</v>
      </c>
      <c r="D79">
        <f t="shared" si="25"/>
        <v>7.6186397192016121E-4</v>
      </c>
      <c r="E79">
        <f t="shared" si="26"/>
        <v>0.18354803873831768</v>
      </c>
      <c r="F79">
        <f t="shared" si="27"/>
        <v>0.67521659233746256</v>
      </c>
      <c r="G79">
        <f t="shared" si="28"/>
        <v>0.73581764048547427</v>
      </c>
      <c r="I79">
        <f t="shared" si="29"/>
        <v>7.9406086231923716E-82</v>
      </c>
      <c r="J79">
        <f t="shared" si="30"/>
        <v>1.9253864384390633E-15</v>
      </c>
      <c r="K79">
        <f t="shared" si="31"/>
        <v>1.2840326239180517E-4</v>
      </c>
      <c r="L79">
        <f t="shared" si="32"/>
        <v>6.8016075114315053E-2</v>
      </c>
      <c r="M79">
        <f t="shared" si="33"/>
        <v>0.28122199148897276</v>
      </c>
      <c r="N79">
        <f t="shared" si="34"/>
        <v>9.5902118237297371E-2</v>
      </c>
      <c r="P79">
        <f t="shared" si="20"/>
        <v>0.44526858810297892</v>
      </c>
      <c r="R79">
        <f t="shared" si="21"/>
        <v>0.41282738017028275</v>
      </c>
      <c r="T79">
        <f t="shared" si="22"/>
        <v>1.3155399651654312E-5</v>
      </c>
    </row>
    <row r="80" spans="1:20" x14ac:dyDescent="0.25">
      <c r="A80">
        <v>0.59999999999997999</v>
      </c>
      <c r="B80">
        <f t="shared" si="23"/>
        <v>1.8492655054475484E-115</v>
      </c>
      <c r="C80">
        <f t="shared" si="24"/>
        <v>1.1244226452489132E-20</v>
      </c>
      <c r="D80">
        <f t="shared" si="25"/>
        <v>1.1276261832423414E-5</v>
      </c>
      <c r="E80">
        <f t="shared" si="26"/>
        <v>4.3171207453956174E-2</v>
      </c>
      <c r="F80">
        <f t="shared" si="27"/>
        <v>0.38490769304994932</v>
      </c>
      <c r="G80">
        <f t="shared" si="28"/>
        <v>0.58377015675444743</v>
      </c>
      <c r="I80">
        <f t="shared" si="29"/>
        <v>1.694592250830074E-117</v>
      </c>
      <c r="J80">
        <f t="shared" si="30"/>
        <v>5.550318046503036E-22</v>
      </c>
      <c r="K80">
        <f t="shared" si="31"/>
        <v>1.9004820548452099E-6</v>
      </c>
      <c r="L80">
        <f t="shared" si="32"/>
        <v>1.599764350056751E-2</v>
      </c>
      <c r="M80">
        <f t="shared" si="33"/>
        <v>0.1603107939101622</v>
      </c>
      <c r="N80">
        <f t="shared" si="34"/>
        <v>7.6085148705504327E-2</v>
      </c>
      <c r="P80">
        <f t="shared" si="20"/>
        <v>0.25239548659828887</v>
      </c>
      <c r="R80">
        <f t="shared" si="21"/>
        <v>0.22656446993566362</v>
      </c>
      <c r="T80">
        <f t="shared" si="22"/>
        <v>1.2010345592846016E-5</v>
      </c>
    </row>
    <row r="81" spans="1:20" x14ac:dyDescent="0.25">
      <c r="A81">
        <v>0.69999999999997997</v>
      </c>
      <c r="B81">
        <f t="shared" si="23"/>
        <v>1.2900685002411243E-157</v>
      </c>
      <c r="C81">
        <f t="shared" si="24"/>
        <v>2.0970185160296787E-28</v>
      </c>
      <c r="D81">
        <f t="shared" si="25"/>
        <v>7.7585025219594775E-8</v>
      </c>
      <c r="E81">
        <f t="shared" si="26"/>
        <v>7.804692828994461E-3</v>
      </c>
      <c r="F81">
        <f t="shared" si="27"/>
        <v>0.19810284406185738</v>
      </c>
      <c r="G81">
        <f t="shared" si="28"/>
        <v>0.44405392137159289</v>
      </c>
      <c r="I81">
        <f t="shared" si="29"/>
        <v>1.1821666911044814E-159</v>
      </c>
      <c r="J81">
        <f t="shared" si="30"/>
        <v>1.0351196467404827E-29</v>
      </c>
      <c r="K81">
        <f t="shared" si="31"/>
        <v>1.3076048636134253E-8</v>
      </c>
      <c r="L81">
        <f t="shared" si="32"/>
        <v>2.8921288255107009E-3</v>
      </c>
      <c r="M81">
        <f t="shared" si="33"/>
        <v>8.2508156581053829E-2</v>
      </c>
      <c r="N81">
        <f t="shared" si="34"/>
        <v>5.7875361132979974E-2</v>
      </c>
      <c r="P81">
        <f t="shared" si="20"/>
        <v>0.14327565961559313</v>
      </c>
      <c r="R81">
        <f t="shared" si="21"/>
        <v>0.12434121742616736</v>
      </c>
      <c r="T81">
        <f t="shared" si="22"/>
        <v>8.7835709751048147E-6</v>
      </c>
    </row>
    <row r="82" spans="1:20" x14ac:dyDescent="0.25">
      <c r="A82">
        <v>0.79999999999997995</v>
      </c>
      <c r="B82">
        <f t="shared" si="23"/>
        <v>2.9419030110897762E-206</v>
      </c>
      <c r="C82">
        <f t="shared" si="24"/>
        <v>2.5301581447664291E-37</v>
      </c>
      <c r="D82">
        <f t="shared" si="25"/>
        <v>2.4815081096590946E-10</v>
      </c>
      <c r="E82">
        <f t="shared" si="26"/>
        <v>1.0845126119819991E-3</v>
      </c>
      <c r="F82">
        <f t="shared" si="27"/>
        <v>9.2054593268788704E-2</v>
      </c>
      <c r="G82">
        <f t="shared" si="28"/>
        <v>0.32385578259096692</v>
      </c>
      <c r="I82">
        <f t="shared" si="29"/>
        <v>2.6958411491484976E-208</v>
      </c>
      <c r="J82">
        <f t="shared" si="30"/>
        <v>1.248923833999716E-38</v>
      </c>
      <c r="K82">
        <f t="shared" si="31"/>
        <v>4.1822917039754709E-11</v>
      </c>
      <c r="L82">
        <f t="shared" si="32"/>
        <v>4.0188002980600935E-4</v>
      </c>
      <c r="M82">
        <f t="shared" si="33"/>
        <v>3.8339958375634586E-2</v>
      </c>
      <c r="N82">
        <f t="shared" si="34"/>
        <v>4.2209446804482395E-2</v>
      </c>
      <c r="P82">
        <f t="shared" si="20"/>
        <v>8.0951285251745914E-2</v>
      </c>
      <c r="R82">
        <f t="shared" si="21"/>
        <v>6.823990696957799E-2</v>
      </c>
      <c r="T82">
        <f t="shared" si="22"/>
        <v>5.1705324106355918E-6</v>
      </c>
    </row>
    <row r="83" spans="1:20" x14ac:dyDescent="0.25">
      <c r="A83">
        <v>0.89999999999998004</v>
      </c>
      <c r="B83">
        <f t="shared" si="23"/>
        <v>2.1930372459580257E-261</v>
      </c>
      <c r="C83">
        <f t="shared" si="24"/>
        <v>1.9749940398275644E-47</v>
      </c>
      <c r="D83">
        <f t="shared" si="25"/>
        <v>3.6895935899782155E-13</v>
      </c>
      <c r="E83">
        <f t="shared" si="26"/>
        <v>1.1583253762689356E-4</v>
      </c>
      <c r="F83">
        <f t="shared" si="27"/>
        <v>3.8620763052964552E-2</v>
      </c>
      <c r="G83">
        <f t="shared" si="28"/>
        <v>0.22645907473686985</v>
      </c>
      <c r="I83">
        <f t="shared" si="29"/>
        <v>2.0096107951155448E-263</v>
      </c>
      <c r="J83">
        <f t="shared" si="30"/>
        <v>9.7488654353490408E-49</v>
      </c>
      <c r="K83">
        <f t="shared" si="31"/>
        <v>6.2183784942483407E-14</v>
      </c>
      <c r="L83">
        <f t="shared" si="32"/>
        <v>4.2923229439377276E-5</v>
      </c>
      <c r="M83">
        <f t="shared" si="33"/>
        <v>1.6085220685972523E-2</v>
      </c>
      <c r="N83">
        <f t="shared" si="34"/>
        <v>2.9515336091963381E-2</v>
      </c>
      <c r="P83">
        <f t="shared" si="20"/>
        <v>4.5643480007437467E-2</v>
      </c>
      <c r="R83">
        <f t="shared" si="21"/>
        <v>3.7450854990878239E-2</v>
      </c>
      <c r="T83">
        <f t="shared" si="22"/>
        <v>2.7183237388089396E-6</v>
      </c>
    </row>
    <row r="84" spans="1:20" x14ac:dyDescent="0.25">
      <c r="A84">
        <v>0.99999999999998002</v>
      </c>
      <c r="B84">
        <f t="shared" si="23"/>
        <v>0</v>
      </c>
      <c r="C84">
        <f t="shared" si="24"/>
        <v>9.9737075999680159E-59</v>
      </c>
      <c r="D84">
        <f t="shared" si="25"/>
        <v>2.5501539697758667E-16</v>
      </c>
      <c r="E84">
        <f t="shared" si="26"/>
        <v>9.5091939869838706E-6</v>
      </c>
      <c r="F84">
        <f t="shared" si="27"/>
        <v>1.4629075137567352E-2</v>
      </c>
      <c r="G84">
        <f t="shared" si="28"/>
        <v>0.15182732042228039</v>
      </c>
      <c r="I84">
        <f t="shared" si="29"/>
        <v>0</v>
      </c>
      <c r="J84">
        <f t="shared" si="30"/>
        <v>4.9231709728144558E-60</v>
      </c>
      <c r="K84">
        <f t="shared" si="31"/>
        <v>4.2979862730003038E-17</v>
      </c>
      <c r="L84">
        <f t="shared" si="32"/>
        <v>3.5237535467071483E-6</v>
      </c>
      <c r="M84">
        <f t="shared" si="33"/>
        <v>6.0928858836045716E-3</v>
      </c>
      <c r="N84">
        <f t="shared" si="34"/>
        <v>1.9788274748595139E-2</v>
      </c>
      <c r="P84">
        <f t="shared" si="20"/>
        <v>2.5884684385746461E-2</v>
      </c>
      <c r="R84">
        <f t="shared" si="21"/>
        <v>2.0553465000664024E-2</v>
      </c>
      <c r="T84">
        <f t="shared" si="22"/>
        <v>1.4210950065938808E-6</v>
      </c>
    </row>
    <row r="85" spans="1:20" x14ac:dyDescent="0.25">
      <c r="A85">
        <v>1.0999999999999801</v>
      </c>
      <c r="B85">
        <f t="shared" si="23"/>
        <v>0</v>
      </c>
      <c r="C85">
        <f t="shared" si="24"/>
        <v>3.2585185266049758E-71</v>
      </c>
      <c r="D85">
        <f t="shared" si="25"/>
        <v>8.1936859267498334E-20</v>
      </c>
      <c r="E85">
        <f t="shared" si="26"/>
        <v>6.0003145202700376E-7</v>
      </c>
      <c r="F85">
        <f t="shared" si="27"/>
        <v>5.0030348103616128E-3</v>
      </c>
      <c r="G85">
        <f t="shared" si="28"/>
        <v>9.7596052559016919E-2</v>
      </c>
      <c r="I85">
        <f t="shared" si="29"/>
        <v>0</v>
      </c>
      <c r="J85">
        <f t="shared" si="30"/>
        <v>1.6084533924587072E-72</v>
      </c>
      <c r="K85">
        <f t="shared" si="31"/>
        <v>1.3809499369774023E-20</v>
      </c>
      <c r="L85">
        <f t="shared" si="32"/>
        <v>2.2234933477118276E-7</v>
      </c>
      <c r="M85">
        <f t="shared" si="33"/>
        <v>2.0837216218101608E-3</v>
      </c>
      <c r="N85">
        <f t="shared" si="34"/>
        <v>1.2720092122054931E-2</v>
      </c>
      <c r="P85">
        <f t="shared" si="20"/>
        <v>1.4804036093199862E-2</v>
      </c>
      <c r="R85">
        <f t="shared" si="21"/>
        <v>1.1279980754415728E-2</v>
      </c>
      <c r="T85">
        <f t="shared" si="22"/>
        <v>7.5134744486415684E-7</v>
      </c>
    </row>
    <row r="86" spans="1:20" x14ac:dyDescent="0.25">
      <c r="A86">
        <v>1.19999999999998</v>
      </c>
      <c r="B86">
        <f t="shared" si="23"/>
        <v>0</v>
      </c>
      <c r="C86">
        <f t="shared" si="24"/>
        <v>6.8874185753272045E-85</v>
      </c>
      <c r="D86">
        <f t="shared" si="25"/>
        <v>1.2238192003048944E-23</v>
      </c>
      <c r="E86">
        <f t="shared" si="26"/>
        <v>2.9101910195709748E-8</v>
      </c>
      <c r="F86">
        <f t="shared" si="27"/>
        <v>1.5447948484362754E-3</v>
      </c>
      <c r="G86">
        <f t="shared" si="28"/>
        <v>6.0150148427430106E-2</v>
      </c>
      <c r="I86">
        <f t="shared" si="29"/>
        <v>0</v>
      </c>
      <c r="J86">
        <f t="shared" si="30"/>
        <v>3.3997326338083866E-86</v>
      </c>
      <c r="K86">
        <f t="shared" si="31"/>
        <v>2.0626041352346044E-24</v>
      </c>
      <c r="L86">
        <f t="shared" si="32"/>
        <v>1.0784085318740179E-8</v>
      </c>
      <c r="M86">
        <f t="shared" si="33"/>
        <v>6.4339396965238348E-4</v>
      </c>
      <c r="N86">
        <f t="shared" si="34"/>
        <v>7.8396145037681574E-3</v>
      </c>
      <c r="P86">
        <f t="shared" si="20"/>
        <v>8.48301925750586E-3</v>
      </c>
      <c r="R86">
        <f t="shared" si="21"/>
        <v>6.190584692940029E-3</v>
      </c>
      <c r="T86">
        <f t="shared" si="22"/>
        <v>3.7837844876274889E-7</v>
      </c>
    </row>
    <row r="87" spans="1:20" x14ac:dyDescent="0.25">
      <c r="A87">
        <v>1.2999999999999801</v>
      </c>
      <c r="B87">
        <f t="shared" si="23"/>
        <v>0</v>
      </c>
      <c r="C87">
        <f t="shared" si="24"/>
        <v>9.418147349576454E-100</v>
      </c>
      <c r="D87">
        <f t="shared" si="25"/>
        <v>8.4972862981474859E-28</v>
      </c>
      <c r="E87">
        <f t="shared" si="26"/>
        <v>1.0848911067217907E-9</v>
      </c>
      <c r="F87">
        <f t="shared" si="27"/>
        <v>4.3065424659445816E-4</v>
      </c>
      <c r="G87">
        <f t="shared" si="28"/>
        <v>3.5543752868953948E-2</v>
      </c>
      <c r="I87">
        <f t="shared" si="29"/>
        <v>0</v>
      </c>
      <c r="J87">
        <f t="shared" si="30"/>
        <v>4.6489381390399785E-101</v>
      </c>
      <c r="K87">
        <f t="shared" si="31"/>
        <v>1.4321182289397731E-28</v>
      </c>
      <c r="L87">
        <f t="shared" si="32"/>
        <v>4.0202028587645824E-10</v>
      </c>
      <c r="M87">
        <f t="shared" si="33"/>
        <v>1.793638459789923E-4</v>
      </c>
      <c r="N87">
        <f t="shared" si="34"/>
        <v>4.6325624756518597E-3</v>
      </c>
      <c r="P87">
        <f t="shared" si="20"/>
        <v>4.8119267236511375E-3</v>
      </c>
      <c r="R87">
        <f t="shared" si="21"/>
        <v>3.3974649137110545E-3</v>
      </c>
      <c r="T87">
        <f t="shared" si="22"/>
        <v>1.6905933689531823E-7</v>
      </c>
    </row>
    <row r="88" spans="1:20" x14ac:dyDescent="0.25">
      <c r="A88">
        <v>1.3999999999999799</v>
      </c>
      <c r="B88">
        <f t="shared" ref="B88:B124" si="35">GCIA(K$14,$A88)</f>
        <v>0</v>
      </c>
      <c r="C88">
        <f t="shared" ref="C88:C124" si="36">GCIA(L$14,$A88)</f>
        <v>8.3319605375162399E-116</v>
      </c>
      <c r="D88">
        <f t="shared" ref="D88:D124" si="37">GCIA(M$14,$A88)</f>
        <v>2.742636673122735E-32</v>
      </c>
      <c r="E88">
        <f t="shared" ref="E88:E124" si="38">GCIA(N$14,$A88)</f>
        <v>3.1086224156012575E-11</v>
      </c>
      <c r="F88">
        <f t="shared" ref="F88:F124" si="39">GCIA(O$14,$A88)</f>
        <v>1.0839451072029221E-4</v>
      </c>
      <c r="G88">
        <f t="shared" ref="G88:G124" si="40">GCIA(P$14,$A88)</f>
        <v>2.0137798183325641E-2</v>
      </c>
      <c r="I88">
        <f t="shared" ref="I88:I124" si="41">K$15*B88</f>
        <v>0</v>
      </c>
      <c r="J88">
        <f t="shared" ref="J88:J124" si="42">L$15*C88</f>
        <v>4.1127801124896652E-117</v>
      </c>
      <c r="K88">
        <f t="shared" ref="K88:K124" si="43">M$15*D88</f>
        <v>4.6223933584468113E-33</v>
      </c>
      <c r="L88">
        <f t="shared" ref="L88:L124" si="44">N$15*E88</f>
        <v>1.1519398255353789E-11</v>
      </c>
      <c r="M88">
        <f t="shared" ref="M88:M124" si="45">O$15*F88</f>
        <v>4.5145395591816997E-5</v>
      </c>
      <c r="N88">
        <f t="shared" ref="N88:N124" si="46">P$15*G88</f>
        <v>2.6246414820143911E-3</v>
      </c>
      <c r="P88">
        <f t="shared" si="20"/>
        <v>2.6697868891256064E-3</v>
      </c>
      <c r="R88">
        <f t="shared" si="21"/>
        <v>1.864568277865815E-3</v>
      </c>
      <c r="T88">
        <f t="shared" si="22"/>
        <v>6.3540947168074596E-8</v>
      </c>
    </row>
    <row r="89" spans="1:20" x14ac:dyDescent="0.25">
      <c r="A89">
        <v>1.49999999999998</v>
      </c>
      <c r="B89">
        <f t="shared" si="35"/>
        <v>0</v>
      </c>
      <c r="C89">
        <f t="shared" si="36"/>
        <v>4.7687180780004624E-133</v>
      </c>
      <c r="D89">
        <f t="shared" si="37"/>
        <v>4.1151090238364388E-37</v>
      </c>
      <c r="E89">
        <f t="shared" si="38"/>
        <v>6.8464741331058887E-13</v>
      </c>
      <c r="F89">
        <f t="shared" si="39"/>
        <v>2.4632385821414067E-5</v>
      </c>
      <c r="G89">
        <f t="shared" si="40"/>
        <v>1.0939130763525151E-2</v>
      </c>
      <c r="I89">
        <f t="shared" si="41"/>
        <v>0</v>
      </c>
      <c r="J89">
        <f t="shared" si="42"/>
        <v>2.3539104374007019E-134</v>
      </c>
      <c r="K89">
        <f t="shared" si="43"/>
        <v>6.9355349935608702E-38</v>
      </c>
      <c r="L89">
        <f t="shared" si="44"/>
        <v>2.5370486228373488E-13</v>
      </c>
      <c r="M89">
        <f t="shared" si="45"/>
        <v>1.0259180053384574E-5</v>
      </c>
      <c r="N89">
        <f t="shared" si="46"/>
        <v>1.4257415889141842E-3</v>
      </c>
      <c r="P89">
        <f t="shared" ref="P89:P124" si="47">SUM(I89:N89)</f>
        <v>1.4360007692212737E-3</v>
      </c>
      <c r="R89">
        <f t="shared" ref="R89:R124" si="48">Radial_Part($R$23,$K$10,A89)/(2*SQRT(PI()))</f>
        <v>1.0232967671845597E-3</v>
      </c>
      <c r="T89">
        <f t="shared" ref="T89:T124" si="49">0.1*A89^2*(R89-P89)^2/2</f>
        <v>1.9161516745925491E-8</v>
      </c>
    </row>
    <row r="90" spans="1:20" x14ac:dyDescent="0.25">
      <c r="A90">
        <v>1.5999999999999801</v>
      </c>
      <c r="B90">
        <f t="shared" si="35"/>
        <v>0</v>
      </c>
      <c r="C90">
        <f t="shared" si="36"/>
        <v>1.7657483624749085E-151</v>
      </c>
      <c r="D90">
        <f t="shared" si="37"/>
        <v>2.8702481891773593E-42</v>
      </c>
      <c r="E90">
        <f t="shared" si="38"/>
        <v>1.1589992136189364E-14</v>
      </c>
      <c r="F90">
        <f t="shared" si="39"/>
        <v>5.0538960051428375E-6</v>
      </c>
      <c r="G90">
        <f t="shared" si="40"/>
        <v>5.6973876476693348E-3</v>
      </c>
      <c r="I90">
        <f t="shared" si="41"/>
        <v>0</v>
      </c>
      <c r="J90">
        <f t="shared" si="42"/>
        <v>8.7159975328121761E-153</v>
      </c>
      <c r="K90">
        <f t="shared" si="43"/>
        <v>4.8374676444624661E-43</v>
      </c>
      <c r="L90">
        <f t="shared" si="44"/>
        <v>4.2948199344873144E-15</v>
      </c>
      <c r="M90">
        <f t="shared" si="45"/>
        <v>2.1049048786320489E-6</v>
      </c>
      <c r="N90">
        <f t="shared" si="46"/>
        <v>7.4256380082163623E-4</v>
      </c>
      <c r="P90">
        <f t="shared" si="47"/>
        <v>7.4466870570456313E-4</v>
      </c>
      <c r="R90">
        <f t="shared" si="48"/>
        <v>5.6159717300828537E-4</v>
      </c>
      <c r="T90">
        <f t="shared" si="49"/>
        <v>4.2899438187217237E-9</v>
      </c>
    </row>
    <row r="91" spans="1:20" x14ac:dyDescent="0.25">
      <c r="A91">
        <v>1.69999999999998</v>
      </c>
      <c r="B91">
        <f t="shared" si="35"/>
        <v>0</v>
      </c>
      <c r="C91">
        <f t="shared" si="36"/>
        <v>4.2298863276696657E-171</v>
      </c>
      <c r="D91">
        <f t="shared" si="37"/>
        <v>9.3064188905399136E-48</v>
      </c>
      <c r="E91">
        <f t="shared" si="38"/>
        <v>1.5080525771256372E-16</v>
      </c>
      <c r="F91">
        <f t="shared" si="39"/>
        <v>9.3619594906937533E-7</v>
      </c>
      <c r="G91">
        <f t="shared" si="40"/>
        <v>2.845056213234178E-3</v>
      </c>
      <c r="I91">
        <f t="shared" si="41"/>
        <v>0</v>
      </c>
      <c r="J91">
        <f t="shared" si="42"/>
        <v>2.0879350410026874E-172</v>
      </c>
      <c r="K91">
        <f t="shared" si="43"/>
        <v>1.5684880645009357E-48</v>
      </c>
      <c r="L91">
        <f t="shared" si="44"/>
        <v>5.5882818507447624E-17</v>
      </c>
      <c r="M91">
        <f t="shared" si="45"/>
        <v>3.8991768302046702E-7</v>
      </c>
      <c r="N91">
        <f t="shared" si="46"/>
        <v>3.708077957648909E-4</v>
      </c>
      <c r="P91">
        <f t="shared" si="47"/>
        <v>3.7119771344796724E-4</v>
      </c>
      <c r="R91">
        <f t="shared" si="48"/>
        <v>3.0821106334445725E-4</v>
      </c>
      <c r="T91">
        <f t="shared" si="49"/>
        <v>5.7327746418734477E-10</v>
      </c>
    </row>
    <row r="92" spans="1:20" x14ac:dyDescent="0.25">
      <c r="A92">
        <v>1.7999999999999801</v>
      </c>
      <c r="B92">
        <f t="shared" si="35"/>
        <v>0</v>
      </c>
      <c r="C92">
        <f t="shared" si="36"/>
        <v>6.5554317623459307E-192</v>
      </c>
      <c r="D92">
        <f t="shared" si="37"/>
        <v>1.4027193266588775E-53</v>
      </c>
      <c r="E92">
        <f t="shared" si="38"/>
        <v>1.5082279934285626E-18</v>
      </c>
      <c r="F92">
        <f t="shared" si="39"/>
        <v>1.5657695674603299E-7</v>
      </c>
      <c r="G92">
        <f t="shared" si="40"/>
        <v>1.3621598020902754E-3</v>
      </c>
      <c r="I92">
        <f t="shared" si="41"/>
        <v>0</v>
      </c>
      <c r="J92">
        <f t="shared" si="42"/>
        <v>3.2358589865569043E-193</v>
      </c>
      <c r="K92">
        <f t="shared" si="43"/>
        <v>2.3641193756555658E-54</v>
      </c>
      <c r="L92">
        <f t="shared" si="44"/>
        <v>5.5889318783080131E-19</v>
      </c>
      <c r="M92">
        <f t="shared" si="45"/>
        <v>6.5212976246583701E-8</v>
      </c>
      <c r="N92">
        <f t="shared" si="46"/>
        <v>1.775358502032733E-4</v>
      </c>
      <c r="P92">
        <f t="shared" si="47"/>
        <v>1.7760106317952045E-4</v>
      </c>
      <c r="R92">
        <f t="shared" si="48"/>
        <v>1.6914981793635125E-4</v>
      </c>
      <c r="T92">
        <f t="shared" si="49"/>
        <v>1.1570614477950534E-11</v>
      </c>
    </row>
    <row r="93" spans="1:20" x14ac:dyDescent="0.25">
      <c r="A93">
        <v>1.8999999999999799</v>
      </c>
      <c r="B93">
        <f t="shared" si="35"/>
        <v>0</v>
      </c>
      <c r="C93">
        <f t="shared" si="36"/>
        <v>6.5727426147033228E-214</v>
      </c>
      <c r="D93">
        <f t="shared" si="37"/>
        <v>9.8284267197189964E-60</v>
      </c>
      <c r="E93">
        <f t="shared" si="38"/>
        <v>1.1594037041714806E-20</v>
      </c>
      <c r="F93">
        <f t="shared" si="39"/>
        <v>2.364338051124051E-8</v>
      </c>
      <c r="G93">
        <f t="shared" si="40"/>
        <v>6.2529851073604074E-4</v>
      </c>
      <c r="I93">
        <f t="shared" si="41"/>
        <v>0</v>
      </c>
      <c r="J93">
        <f t="shared" si="42"/>
        <v>3.2444038817211524E-215</v>
      </c>
      <c r="K93">
        <f t="shared" si="43"/>
        <v>1.6564663791753069E-60</v>
      </c>
      <c r="L93">
        <f t="shared" si="44"/>
        <v>4.2963188260033443E-21</v>
      </c>
      <c r="M93">
        <f t="shared" si="45"/>
        <v>9.8472677187700662E-9</v>
      </c>
      <c r="N93">
        <f t="shared" si="46"/>
        <v>8.1497708685875889E-5</v>
      </c>
      <c r="P93">
        <f t="shared" si="47"/>
        <v>8.1507555953594661E-5</v>
      </c>
      <c r="R93">
        <f t="shared" si="48"/>
        <v>9.2831388326655668E-5</v>
      </c>
      <c r="T93">
        <f t="shared" si="49"/>
        <v>2.3145366920179313E-11</v>
      </c>
    </row>
    <row r="94" spans="1:20" x14ac:dyDescent="0.25">
      <c r="A94">
        <v>1.99999999999998</v>
      </c>
      <c r="B94">
        <f t="shared" si="35"/>
        <v>0</v>
      </c>
      <c r="C94">
        <f t="shared" si="36"/>
        <v>4.2634843283169676E-237</v>
      </c>
      <c r="D94">
        <f t="shared" si="37"/>
        <v>3.2012697159960887E-66</v>
      </c>
      <c r="E94">
        <f t="shared" si="38"/>
        <v>6.8504569604533698E-23</v>
      </c>
      <c r="F94">
        <f t="shared" si="39"/>
        <v>3.2233831353681889E-9</v>
      </c>
      <c r="G94">
        <f t="shared" si="40"/>
        <v>2.7521294326916974E-4</v>
      </c>
      <c r="I94">
        <f t="shared" si="41"/>
        <v>0</v>
      </c>
      <c r="J94">
        <f t="shared" si="42"/>
        <v>2.1045195157201866E-238</v>
      </c>
      <c r="K94">
        <f t="shared" si="43"/>
        <v>5.3953657146168517E-67</v>
      </c>
      <c r="L94">
        <f t="shared" si="44"/>
        <v>2.5385245104899527E-23</v>
      </c>
      <c r="M94">
        <f t="shared" si="45"/>
        <v>1.3425117731810175E-9</v>
      </c>
      <c r="N94">
        <f t="shared" si="46"/>
        <v>3.5869626893452498E-5</v>
      </c>
      <c r="P94">
        <f t="shared" si="47"/>
        <v>3.5870969405225683E-5</v>
      </c>
      <c r="R94">
        <f t="shared" si="48"/>
        <v>5.0946946108431816E-5</v>
      </c>
      <c r="T94">
        <f t="shared" si="49"/>
        <v>4.5457014711121905E-11</v>
      </c>
    </row>
    <row r="95" spans="1:20" x14ac:dyDescent="0.25">
      <c r="A95">
        <v>2.0999999999999699</v>
      </c>
      <c r="B95">
        <f t="shared" si="35"/>
        <v>0</v>
      </c>
      <c r="C95">
        <f t="shared" si="36"/>
        <v>1.7891857735929657E-261</v>
      </c>
      <c r="D95">
        <f t="shared" si="37"/>
        <v>4.8471400442249562E-73</v>
      </c>
      <c r="E95">
        <f t="shared" si="38"/>
        <v>3.1111544583814202E-25</v>
      </c>
      <c r="F95">
        <f t="shared" si="39"/>
        <v>3.9676643083678659E-10</v>
      </c>
      <c r="G95">
        <f t="shared" si="40"/>
        <v>1.1613749160604186E-4</v>
      </c>
      <c r="I95">
        <f t="shared" si="41"/>
        <v>0</v>
      </c>
      <c r="J95">
        <f t="shared" si="42"/>
        <v>8.8316880931557616E-263</v>
      </c>
      <c r="K95">
        <f t="shared" si="43"/>
        <v>8.1692876666658516E-74</v>
      </c>
      <c r="L95">
        <f t="shared" si="44"/>
        <v>1.1528781063969562E-25</v>
      </c>
      <c r="M95">
        <f t="shared" si="45"/>
        <v>1.6524985775249914E-10</v>
      </c>
      <c r="N95">
        <f t="shared" si="46"/>
        <v>1.5136673598144904E-5</v>
      </c>
      <c r="P95">
        <f t="shared" si="47"/>
        <v>1.5136838848002657E-5</v>
      </c>
      <c r="R95">
        <f t="shared" si="48"/>
        <v>2.7960276847764304E-5</v>
      </c>
      <c r="T95">
        <f t="shared" si="49"/>
        <v>3.6259143950486645E-11</v>
      </c>
    </row>
    <row r="96" spans="1:20" x14ac:dyDescent="0.25">
      <c r="A96">
        <v>2.19999999999997</v>
      </c>
      <c r="B96">
        <f t="shared" si="35"/>
        <v>0</v>
      </c>
      <c r="C96">
        <f t="shared" si="36"/>
        <v>4.8575683690863169E-287</v>
      </c>
      <c r="D96">
        <f t="shared" si="37"/>
        <v>3.4117241374573261E-80</v>
      </c>
      <c r="E96">
        <f t="shared" si="38"/>
        <v>1.0860273836935259E-27</v>
      </c>
      <c r="F96">
        <f t="shared" si="39"/>
        <v>4.4093903351416313E-11</v>
      </c>
      <c r="G96">
        <f t="shared" si="40"/>
        <v>4.6989211199901596E-5</v>
      </c>
      <c r="I96">
        <f t="shared" si="41"/>
        <v>0</v>
      </c>
      <c r="J96">
        <f t="shared" si="42"/>
        <v>2.3977682675622156E-288</v>
      </c>
      <c r="K96">
        <f t="shared" si="43"/>
        <v>5.7500620291347227E-81</v>
      </c>
      <c r="L96">
        <f t="shared" si="44"/>
        <v>4.0244134785233908E-28</v>
      </c>
      <c r="M96">
        <f t="shared" si="45"/>
        <v>1.8364737261684725E-11</v>
      </c>
      <c r="N96">
        <f t="shared" si="46"/>
        <v>6.1242958043206363E-6</v>
      </c>
      <c r="P96">
        <f t="shared" si="47"/>
        <v>6.1243141690578981E-6</v>
      </c>
      <c r="R96">
        <f t="shared" si="48"/>
        <v>1.5344925282463466E-5</v>
      </c>
      <c r="T96">
        <f t="shared" si="49"/>
        <v>2.0574759971726742E-11</v>
      </c>
    </row>
    <row r="97" spans="1:20" x14ac:dyDescent="0.25">
      <c r="A97">
        <v>2.2999999999999701</v>
      </c>
      <c r="B97">
        <f t="shared" si="35"/>
        <v>0</v>
      </c>
      <c r="C97">
        <f t="shared" si="36"/>
        <v>0</v>
      </c>
      <c r="D97">
        <f t="shared" si="37"/>
        <v>1.1163163551363047E-87</v>
      </c>
      <c r="E97">
        <f t="shared" si="38"/>
        <v>2.9139168256916383E-30</v>
      </c>
      <c r="F97">
        <f t="shared" si="39"/>
        <v>4.4242820399911277E-12</v>
      </c>
      <c r="G97">
        <f t="shared" si="40"/>
        <v>1.8228292707023288E-5</v>
      </c>
      <c r="I97">
        <f t="shared" si="41"/>
        <v>0</v>
      </c>
      <c r="J97">
        <f t="shared" si="42"/>
        <v>0</v>
      </c>
      <c r="K97">
        <f t="shared" si="43"/>
        <v>1.8814206622681921E-88</v>
      </c>
      <c r="L97">
        <f t="shared" si="44"/>
        <v>1.0797891770212303E-30</v>
      </c>
      <c r="M97">
        <f t="shared" si="45"/>
        <v>1.8426759951025694E-12</v>
      </c>
      <c r="N97">
        <f t="shared" si="46"/>
        <v>2.3757678346765898E-6</v>
      </c>
      <c r="P97">
        <f t="shared" si="47"/>
        <v>2.3757696773525849E-6</v>
      </c>
      <c r="R97">
        <f t="shared" si="48"/>
        <v>8.4214735500093671E-6</v>
      </c>
      <c r="T97">
        <f t="shared" si="49"/>
        <v>9.667616591043981E-12</v>
      </c>
    </row>
    <row r="98" spans="1:20" x14ac:dyDescent="0.25">
      <c r="A98">
        <v>2.3999999999999702</v>
      </c>
      <c r="B98">
        <f t="shared" si="35"/>
        <v>0</v>
      </c>
      <c r="C98">
        <f t="shared" si="36"/>
        <v>0</v>
      </c>
      <c r="D98">
        <f t="shared" si="37"/>
        <v>1.6979531628377408E-95</v>
      </c>
      <c r="E98">
        <f t="shared" si="38"/>
        <v>6.0093942718000479E-33</v>
      </c>
      <c r="F98">
        <f t="shared" si="39"/>
        <v>4.0079998556633018E-13</v>
      </c>
      <c r="G98">
        <f t="shared" si="40"/>
        <v>6.7797855831047938E-6</v>
      </c>
      <c r="I98">
        <f t="shared" si="41"/>
        <v>0</v>
      </c>
      <c r="J98">
        <f t="shared" si="42"/>
        <v>0</v>
      </c>
      <c r="K98">
        <f t="shared" si="43"/>
        <v>2.8617014786426648E-96</v>
      </c>
      <c r="L98">
        <f t="shared" si="44"/>
        <v>2.2268579658593685E-33</v>
      </c>
      <c r="M98">
        <f t="shared" si="45"/>
        <v>1.6692979913233877E-13</v>
      </c>
      <c r="N98">
        <f t="shared" si="46"/>
        <v>8.8363714436834769E-7</v>
      </c>
      <c r="P98">
        <f t="shared" si="47"/>
        <v>8.8363731129814684E-7</v>
      </c>
      <c r="R98">
        <f t="shared" si="48"/>
        <v>4.6218026773032029E-6</v>
      </c>
      <c r="T98">
        <f t="shared" si="49"/>
        <v>4.024477527436618E-12</v>
      </c>
    </row>
    <row r="99" spans="1:20" x14ac:dyDescent="0.25">
      <c r="A99">
        <v>2.4999999999999698</v>
      </c>
      <c r="B99">
        <f t="shared" si="35"/>
        <v>0</v>
      </c>
      <c r="C99">
        <f t="shared" si="36"/>
        <v>0</v>
      </c>
      <c r="D99">
        <f t="shared" si="37"/>
        <v>1.2005746361550898E-103</v>
      </c>
      <c r="E99">
        <f t="shared" si="38"/>
        <v>9.525799109726059E-36</v>
      </c>
      <c r="F99">
        <f t="shared" si="39"/>
        <v>3.2781832241867573E-14</v>
      </c>
      <c r="G99">
        <f t="shared" si="40"/>
        <v>2.4177313986682954E-6</v>
      </c>
      <c r="I99">
        <f t="shared" si="41"/>
        <v>0</v>
      </c>
      <c r="J99">
        <f t="shared" si="42"/>
        <v>0</v>
      </c>
      <c r="K99">
        <f t="shared" si="43"/>
        <v>2.0234281408351309E-104</v>
      </c>
      <c r="L99">
        <f t="shared" si="44"/>
        <v>3.5299067874798562E-36</v>
      </c>
      <c r="M99">
        <f t="shared" si="45"/>
        <v>1.3653355460062389E-14</v>
      </c>
      <c r="N99">
        <f t="shared" si="46"/>
        <v>3.1511280744524423E-7</v>
      </c>
      <c r="P99">
        <f t="shared" si="47"/>
        <v>3.151128210985997E-7</v>
      </c>
      <c r="R99">
        <f t="shared" si="48"/>
        <v>2.5364990890345282E-6</v>
      </c>
      <c r="T99">
        <f t="shared" si="49"/>
        <v>1.5420490473044354E-12</v>
      </c>
    </row>
    <row r="100" spans="1:20" x14ac:dyDescent="0.25">
      <c r="A100">
        <v>2.5999999999999699</v>
      </c>
      <c r="B100">
        <f t="shared" si="35"/>
        <v>0</v>
      </c>
      <c r="C100">
        <f t="shared" si="36"/>
        <v>0</v>
      </c>
      <c r="D100">
        <f t="shared" si="37"/>
        <v>3.9461869938648205E-112</v>
      </c>
      <c r="E100">
        <f t="shared" si="38"/>
        <v>1.1606180230296966E-38</v>
      </c>
      <c r="F100">
        <f t="shared" si="39"/>
        <v>2.4208026355424142E-15</v>
      </c>
      <c r="G100">
        <f t="shared" si="40"/>
        <v>8.2665113873284937E-7</v>
      </c>
      <c r="I100">
        <f t="shared" si="41"/>
        <v>0</v>
      </c>
      <c r="J100">
        <f t="shared" si="42"/>
        <v>0</v>
      </c>
      <c r="K100">
        <f t="shared" si="43"/>
        <v>6.6508366676440351E-113</v>
      </c>
      <c r="L100">
        <f t="shared" si="44"/>
        <v>4.3008186399616348E-39</v>
      </c>
      <c r="M100">
        <f t="shared" si="45"/>
        <v>1.0082437930209319E-15</v>
      </c>
      <c r="N100">
        <f t="shared" si="46"/>
        <v>1.0774081903696795E-7</v>
      </c>
      <c r="P100">
        <f t="shared" si="47"/>
        <v>1.0774082004521174E-7</v>
      </c>
      <c r="R100">
        <f t="shared" si="48"/>
        <v>1.392060215004045E-6</v>
      </c>
      <c r="T100">
        <f t="shared" si="49"/>
        <v>5.5752299219437623E-13</v>
      </c>
    </row>
    <row r="101" spans="1:20" x14ac:dyDescent="0.25">
      <c r="A101">
        <v>2.69999999999997</v>
      </c>
      <c r="B101">
        <f t="shared" si="35"/>
        <v>0</v>
      </c>
      <c r="C101">
        <f t="shared" si="36"/>
        <v>0</v>
      </c>
      <c r="D101">
        <f t="shared" si="37"/>
        <v>6.0296374100705964E-121</v>
      </c>
      <c r="E101">
        <f t="shared" si="38"/>
        <v>1.0869119773901947E-41</v>
      </c>
      <c r="F101">
        <f t="shared" si="39"/>
        <v>1.6140098366738439E-16</v>
      </c>
      <c r="G101">
        <f t="shared" si="40"/>
        <v>2.7099333659134996E-7</v>
      </c>
      <c r="I101">
        <f t="shared" si="41"/>
        <v>0</v>
      </c>
      <c r="J101">
        <f t="shared" si="42"/>
        <v>0</v>
      </c>
      <c r="K101">
        <f t="shared" si="43"/>
        <v>1.0162248682549245E-121</v>
      </c>
      <c r="L101">
        <f t="shared" si="44"/>
        <v>4.0276914536917368E-42</v>
      </c>
      <c r="M101">
        <f t="shared" si="45"/>
        <v>6.7222142598853732E-17</v>
      </c>
      <c r="N101">
        <f t="shared" si="46"/>
        <v>3.5319668321836615E-8</v>
      </c>
      <c r="P101">
        <f t="shared" si="47"/>
        <v>3.5319668389058758E-8</v>
      </c>
      <c r="R101">
        <f t="shared" si="48"/>
        <v>7.6397884413777375E-7</v>
      </c>
      <c r="T101">
        <f t="shared" si="49"/>
        <v>1.9352915885981509E-13</v>
      </c>
    </row>
    <row r="102" spans="1:20" x14ac:dyDescent="0.25">
      <c r="A102">
        <v>2.7999999999999701</v>
      </c>
      <c r="B102">
        <f t="shared" si="35"/>
        <v>0</v>
      </c>
      <c r="C102">
        <f t="shared" si="36"/>
        <v>0</v>
      </c>
      <c r="D102">
        <f t="shared" si="37"/>
        <v>4.2828195042406962E-130</v>
      </c>
      <c r="E102">
        <f t="shared" si="38"/>
        <v>7.8237796600315582E-45</v>
      </c>
      <c r="F102">
        <f t="shared" si="39"/>
        <v>9.7156890028211166E-18</v>
      </c>
      <c r="G102">
        <f t="shared" si="40"/>
        <v>8.5175968858920139E-8</v>
      </c>
      <c r="I102">
        <f t="shared" si="41"/>
        <v>0</v>
      </c>
      <c r="J102">
        <f t="shared" si="42"/>
        <v>0</v>
      </c>
      <c r="K102">
        <f t="shared" si="43"/>
        <v>7.2181913943738522E-131</v>
      </c>
      <c r="L102">
        <f t="shared" si="44"/>
        <v>2.8992016950572084E-45</v>
      </c>
      <c r="M102">
        <f t="shared" si="45"/>
        <v>4.0465021758460034E-18</v>
      </c>
      <c r="N102">
        <f t="shared" si="46"/>
        <v>1.1101331888557478E-8</v>
      </c>
      <c r="P102">
        <f t="shared" si="47"/>
        <v>1.1101331892603979E-8</v>
      </c>
      <c r="R102">
        <f t="shared" si="48"/>
        <v>4.1928047939247427E-7</v>
      </c>
      <c r="T102">
        <f t="shared" si="49"/>
        <v>6.5311204849857182E-14</v>
      </c>
    </row>
    <row r="103" spans="1:20" x14ac:dyDescent="0.25">
      <c r="A103">
        <v>2.8999999999999702</v>
      </c>
      <c r="B103">
        <f t="shared" si="35"/>
        <v>0</v>
      </c>
      <c r="C103">
        <f t="shared" si="36"/>
        <v>0</v>
      </c>
      <c r="D103">
        <f t="shared" si="37"/>
        <v>1.4141431882533764E-139</v>
      </c>
      <c r="E103">
        <f t="shared" si="38"/>
        <v>4.3286853632510688E-48</v>
      </c>
      <c r="F103">
        <f t="shared" si="39"/>
        <v>5.2803373043896385E-19</v>
      </c>
      <c r="G103">
        <f t="shared" si="40"/>
        <v>2.566833380900116E-8</v>
      </c>
      <c r="I103">
        <f t="shared" si="41"/>
        <v>0</v>
      </c>
      <c r="J103">
        <f t="shared" si="42"/>
        <v>0</v>
      </c>
      <c r="K103">
        <f t="shared" si="43"/>
        <v>2.3833729583410564E-140</v>
      </c>
      <c r="L103">
        <f t="shared" si="44"/>
        <v>1.6040497672267276E-48</v>
      </c>
      <c r="M103">
        <f t="shared" si="45"/>
        <v>2.1992157617652489E-19</v>
      </c>
      <c r="N103">
        <f t="shared" si="46"/>
        <v>3.3454587773692303E-9</v>
      </c>
      <c r="P103">
        <f t="shared" si="47"/>
        <v>3.345458777589152E-9</v>
      </c>
      <c r="R103">
        <f t="shared" si="48"/>
        <v>2.3010600587767116E-7</v>
      </c>
      <c r="T103">
        <f t="shared" si="49"/>
        <v>2.1622255375734091E-14</v>
      </c>
    </row>
    <row r="104" spans="1:20" x14ac:dyDescent="0.25">
      <c r="A104">
        <v>2.9999999999999698</v>
      </c>
      <c r="B104">
        <f t="shared" si="35"/>
        <v>0</v>
      </c>
      <c r="C104">
        <f t="shared" si="36"/>
        <v>0</v>
      </c>
      <c r="D104">
        <f t="shared" si="37"/>
        <v>2.1706111977972582E-149</v>
      </c>
      <c r="E104">
        <f t="shared" si="38"/>
        <v>1.8408254100263164E-51</v>
      </c>
      <c r="F104">
        <f t="shared" si="39"/>
        <v>2.5910175864953789E-20</v>
      </c>
      <c r="G104">
        <f t="shared" si="40"/>
        <v>7.4165239062519882E-9</v>
      </c>
      <c r="I104">
        <f t="shared" si="41"/>
        <v>0</v>
      </c>
      <c r="J104">
        <f t="shared" si="42"/>
        <v>0</v>
      </c>
      <c r="K104">
        <f t="shared" si="43"/>
        <v>3.6583113187370847E-150</v>
      </c>
      <c r="L104">
        <f t="shared" si="44"/>
        <v>6.8214141769825224E-52</v>
      </c>
      <c r="M104">
        <f t="shared" si="45"/>
        <v>1.0791368783381642E-20</v>
      </c>
      <c r="N104">
        <f t="shared" si="46"/>
        <v>9.6662585052710712E-10</v>
      </c>
      <c r="P104">
        <f t="shared" si="47"/>
        <v>9.6662585053789851E-10</v>
      </c>
      <c r="R104">
        <f t="shared" si="48"/>
        <v>1.2628485356078665E-7</v>
      </c>
      <c r="T104">
        <f t="shared" si="49"/>
        <v>7.0670961883968499E-15</v>
      </c>
    </row>
    <row r="105" spans="1:20" x14ac:dyDescent="0.25">
      <c r="A105">
        <v>3.0999999999999699</v>
      </c>
      <c r="B105">
        <f t="shared" si="35"/>
        <v>0</v>
      </c>
      <c r="C105">
        <f t="shared" si="36"/>
        <v>0</v>
      </c>
      <c r="D105">
        <f t="shared" si="37"/>
        <v>1.548801396035961E-159</v>
      </c>
      <c r="E105">
        <f t="shared" si="38"/>
        <v>6.0170878691612536E-55</v>
      </c>
      <c r="F105">
        <f t="shared" si="39"/>
        <v>1.1478884588231108E-21</v>
      </c>
      <c r="G105">
        <f t="shared" si="40"/>
        <v>2.0545903764274149E-9</v>
      </c>
      <c r="I105">
        <f t="shared" si="41"/>
        <v>0</v>
      </c>
      <c r="J105">
        <f t="shared" si="42"/>
        <v>0</v>
      </c>
      <c r="K105">
        <f t="shared" si="43"/>
        <v>2.6103236191465443E-160</v>
      </c>
      <c r="L105">
        <f t="shared" si="44"/>
        <v>2.2297089268373013E-55</v>
      </c>
      <c r="M105">
        <f t="shared" si="45"/>
        <v>4.7808582025500174E-22</v>
      </c>
      <c r="N105">
        <f t="shared" si="46"/>
        <v>2.6778315491234132E-10</v>
      </c>
      <c r="P105">
        <f t="shared" si="47"/>
        <v>2.6778315491281943E-10</v>
      </c>
      <c r="R105">
        <f t="shared" si="48"/>
        <v>6.9306597096589768E-8</v>
      </c>
      <c r="T105">
        <f t="shared" si="49"/>
        <v>2.2902349375424664E-15</v>
      </c>
    </row>
    <row r="106" spans="1:20" x14ac:dyDescent="0.25">
      <c r="A106">
        <v>3.19999999999997</v>
      </c>
      <c r="B106">
        <f t="shared" si="35"/>
        <v>0</v>
      </c>
      <c r="C106">
        <f t="shared" si="36"/>
        <v>0</v>
      </c>
      <c r="D106">
        <f t="shared" si="37"/>
        <v>5.1372945006080585E-170</v>
      </c>
      <c r="E106">
        <f t="shared" si="38"/>
        <v>1.5117406075661569E-58</v>
      </c>
      <c r="F106">
        <f t="shared" si="39"/>
        <v>4.5914478057761463E-23</v>
      </c>
      <c r="G106">
        <f t="shared" si="40"/>
        <v>5.4572295786014756E-10</v>
      </c>
      <c r="I106">
        <f t="shared" si="41"/>
        <v>0</v>
      </c>
      <c r="J106">
        <f t="shared" si="42"/>
        <v>0</v>
      </c>
      <c r="K106">
        <f t="shared" si="43"/>
        <v>8.6583090690457406E-171</v>
      </c>
      <c r="L106">
        <f t="shared" si="44"/>
        <v>5.6019483195989406E-59</v>
      </c>
      <c r="M106">
        <f t="shared" si="45"/>
        <v>1.9122991206245603E-23</v>
      </c>
      <c r="N106">
        <f t="shared" si="46"/>
        <v>7.1126301885045226E-11</v>
      </c>
      <c r="P106">
        <f t="shared" si="47"/>
        <v>7.1126301885064354E-11</v>
      </c>
      <c r="R106">
        <f t="shared" si="48"/>
        <v>3.8036266944689013E-8</v>
      </c>
      <c r="T106">
        <f t="shared" si="49"/>
        <v>7.3797217486226295E-16</v>
      </c>
    </row>
    <row r="107" spans="1:20" x14ac:dyDescent="0.25">
      <c r="A107">
        <v>3.2999999999999701</v>
      </c>
      <c r="B107">
        <f t="shared" si="35"/>
        <v>0</v>
      </c>
      <c r="C107">
        <f t="shared" si="36"/>
        <v>0</v>
      </c>
      <c r="D107">
        <f t="shared" si="37"/>
        <v>7.9213323174223773E-181</v>
      </c>
      <c r="E107">
        <f t="shared" si="38"/>
        <v>2.9193446967513102E-62</v>
      </c>
      <c r="F107">
        <f t="shared" si="39"/>
        <v>1.6581363795276238E-24</v>
      </c>
      <c r="G107">
        <f t="shared" si="40"/>
        <v>1.3897648566407166E-10</v>
      </c>
      <c r="I107">
        <f t="shared" si="41"/>
        <v>0</v>
      </c>
      <c r="J107">
        <f t="shared" si="42"/>
        <v>0</v>
      </c>
      <c r="K107">
        <f t="shared" si="43"/>
        <v>1.335047921327956E-181</v>
      </c>
      <c r="L107">
        <f t="shared" si="44"/>
        <v>1.0818005441175129E-62</v>
      </c>
      <c r="M107">
        <f t="shared" si="45"/>
        <v>6.9059975732649345E-25</v>
      </c>
      <c r="N107">
        <f t="shared" si="46"/>
        <v>1.8113372970463559E-11</v>
      </c>
      <c r="P107">
        <f t="shared" si="47"/>
        <v>1.8113372970464251E-11</v>
      </c>
      <c r="R107">
        <f t="shared" si="48"/>
        <v>2.0874745892823884E-8</v>
      </c>
      <c r="T107">
        <f t="shared" si="49"/>
        <v>2.368570208771345E-16</v>
      </c>
    </row>
    <row r="108" spans="1:20" x14ac:dyDescent="0.25">
      <c r="A108">
        <v>3.3999999999999702</v>
      </c>
      <c r="B108">
        <f t="shared" si="35"/>
        <v>0</v>
      </c>
      <c r="C108">
        <f t="shared" si="36"/>
        <v>0</v>
      </c>
      <c r="D108">
        <f t="shared" si="37"/>
        <v>5.6778908935048464E-192</v>
      </c>
      <c r="E108">
        <f t="shared" si="38"/>
        <v>4.3332190767846527E-66</v>
      </c>
      <c r="F108">
        <f t="shared" si="39"/>
        <v>5.4064411207775377E-26</v>
      </c>
      <c r="G108">
        <f t="shared" si="40"/>
        <v>3.3933804428235111E-11</v>
      </c>
      <c r="I108">
        <f t="shared" si="41"/>
        <v>0</v>
      </c>
      <c r="J108">
        <f t="shared" si="42"/>
        <v>0</v>
      </c>
      <c r="K108">
        <f t="shared" si="43"/>
        <v>9.5694210659845327E-193</v>
      </c>
      <c r="L108">
        <f t="shared" si="44"/>
        <v>1.6057297928067703E-66</v>
      </c>
      <c r="M108">
        <f t="shared" si="45"/>
        <v>2.2517369331662631E-26</v>
      </c>
      <c r="N108">
        <f t="shared" si="46"/>
        <v>4.422731320182547E-12</v>
      </c>
      <c r="P108">
        <f t="shared" si="47"/>
        <v>4.4227313201825696E-12</v>
      </c>
      <c r="R108">
        <f t="shared" si="48"/>
        <v>1.1456303446487717E-8</v>
      </c>
      <c r="T108">
        <f t="shared" si="49"/>
        <v>7.580214056653693E-17</v>
      </c>
    </row>
    <row r="109" spans="1:20" x14ac:dyDescent="0.25">
      <c r="A109">
        <v>3.4999999999999698</v>
      </c>
      <c r="B109">
        <f t="shared" si="35"/>
        <v>0</v>
      </c>
      <c r="C109">
        <f t="shared" si="36"/>
        <v>0</v>
      </c>
      <c r="D109">
        <f t="shared" si="37"/>
        <v>1.8919118242883857E-203</v>
      </c>
      <c r="E109">
        <f t="shared" si="38"/>
        <v>4.9437111560827973E-70</v>
      </c>
      <c r="F109">
        <f t="shared" si="39"/>
        <v>1.5915611928512374E-27</v>
      </c>
      <c r="G109">
        <f t="shared" si="40"/>
        <v>7.9441220140482396E-12</v>
      </c>
      <c r="I109">
        <f t="shared" si="41"/>
        <v>0</v>
      </c>
      <c r="J109">
        <f t="shared" si="42"/>
        <v>0</v>
      </c>
      <c r="K109">
        <f t="shared" si="43"/>
        <v>3.1885961188583114E-204</v>
      </c>
      <c r="L109">
        <f t="shared" si="44"/>
        <v>1.831955446906165E-70</v>
      </c>
      <c r="M109">
        <f t="shared" si="45"/>
        <v>6.6287175598092464E-28</v>
      </c>
      <c r="N109">
        <f t="shared" si="46"/>
        <v>1.0353898666796247E-12</v>
      </c>
      <c r="P109">
        <f t="shared" si="47"/>
        <v>1.0353898666796253E-12</v>
      </c>
      <c r="R109">
        <f t="shared" si="48"/>
        <v>6.2873526380565718E-9</v>
      </c>
      <c r="T109">
        <f t="shared" si="49"/>
        <v>2.4204643033744552E-17</v>
      </c>
    </row>
    <row r="110" spans="1:20" x14ac:dyDescent="0.25">
      <c r="A110">
        <v>3.5999999999999699</v>
      </c>
      <c r="B110">
        <f t="shared" si="35"/>
        <v>0</v>
      </c>
      <c r="C110">
        <f t="shared" si="36"/>
        <v>0</v>
      </c>
      <c r="D110">
        <f t="shared" si="37"/>
        <v>2.9304868659366639E-215</v>
      </c>
      <c r="E110">
        <f t="shared" si="38"/>
        <v>4.3352355844766638E-74</v>
      </c>
      <c r="F110">
        <f t="shared" si="39"/>
        <v>4.2301506897393511E-29</v>
      </c>
      <c r="G110">
        <f t="shared" si="40"/>
        <v>1.7831233429787749E-12</v>
      </c>
      <c r="I110">
        <f t="shared" si="41"/>
        <v>0</v>
      </c>
      <c r="J110">
        <f t="shared" si="42"/>
        <v>0</v>
      </c>
      <c r="K110">
        <f t="shared" si="43"/>
        <v>4.9389928891667883E-216</v>
      </c>
      <c r="L110">
        <f t="shared" si="44"/>
        <v>1.6064770355427383E-74</v>
      </c>
      <c r="M110">
        <f t="shared" si="45"/>
        <v>1.7618219320540673E-29</v>
      </c>
      <c r="N110">
        <f t="shared" si="46"/>
        <v>2.3240174774446881E-13</v>
      </c>
      <c r="P110">
        <f t="shared" si="47"/>
        <v>2.3240174774446881E-13</v>
      </c>
      <c r="R110">
        <f t="shared" si="48"/>
        <v>3.4505722879919153E-9</v>
      </c>
      <c r="T110">
        <f t="shared" si="49"/>
        <v>7.7143397742334905E-18</v>
      </c>
    </row>
    <row r="111" spans="1:20" x14ac:dyDescent="0.25">
      <c r="A111">
        <v>3.69999999999997</v>
      </c>
      <c r="B111">
        <f t="shared" si="35"/>
        <v>0</v>
      </c>
      <c r="C111">
        <f t="shared" si="36"/>
        <v>0</v>
      </c>
      <c r="D111">
        <f t="shared" si="37"/>
        <v>2.1101032486544763E-227</v>
      </c>
      <c r="E111">
        <f t="shared" si="38"/>
        <v>2.9220624226230823E-78</v>
      </c>
      <c r="F111">
        <f t="shared" si="39"/>
        <v>1.015100331055986E-30</v>
      </c>
      <c r="G111">
        <f t="shared" si="40"/>
        <v>3.8374169643695623E-13</v>
      </c>
      <c r="I111">
        <f t="shared" si="41"/>
        <v>0</v>
      </c>
      <c r="J111">
        <f t="shared" si="42"/>
        <v>0</v>
      </c>
      <c r="K111">
        <f t="shared" si="43"/>
        <v>3.5563322469220861E-228</v>
      </c>
      <c r="L111">
        <f t="shared" si="44"/>
        <v>1.082807632225374E-78</v>
      </c>
      <c r="M111">
        <f t="shared" si="45"/>
        <v>4.22780689781994E-31</v>
      </c>
      <c r="N111">
        <f t="shared" si="46"/>
        <v>5.001462253609092E-14</v>
      </c>
      <c r="P111">
        <f t="shared" si="47"/>
        <v>5.001462253609092E-14</v>
      </c>
      <c r="R111">
        <f t="shared" si="48"/>
        <v>1.893714222833555E-9</v>
      </c>
      <c r="T111">
        <f t="shared" si="49"/>
        <v>2.4545924493529642E-18</v>
      </c>
    </row>
    <row r="112" spans="1:20" x14ac:dyDescent="0.25">
      <c r="A112">
        <v>3.7999999999999701</v>
      </c>
      <c r="B112">
        <f t="shared" si="35"/>
        <v>0</v>
      </c>
      <c r="C112">
        <f t="shared" si="36"/>
        <v>0</v>
      </c>
      <c r="D112">
        <f t="shared" si="37"/>
        <v>7.0630563650730077E-240</v>
      </c>
      <c r="E112">
        <f t="shared" si="38"/>
        <v>1.5138521015965914E-82</v>
      </c>
      <c r="F112">
        <f t="shared" si="39"/>
        <v>2.1992911879992138E-32</v>
      </c>
      <c r="G112">
        <f t="shared" si="40"/>
        <v>7.9180588095008531E-14</v>
      </c>
      <c r="I112">
        <f t="shared" si="41"/>
        <v>0</v>
      </c>
      <c r="J112">
        <f t="shared" si="42"/>
        <v>0</v>
      </c>
      <c r="K112">
        <f t="shared" si="43"/>
        <v>1.1903955471825602E-240</v>
      </c>
      <c r="L112">
        <f t="shared" si="44"/>
        <v>5.6097727309936177E-83</v>
      </c>
      <c r="M112">
        <f t="shared" si="45"/>
        <v>9.1598615136545188E-33</v>
      </c>
      <c r="N112">
        <f t="shared" si="46"/>
        <v>1.0319929427862301E-14</v>
      </c>
      <c r="P112">
        <f t="shared" si="47"/>
        <v>1.0319929427862301E-14</v>
      </c>
      <c r="R112">
        <f t="shared" si="48"/>
        <v>1.0392924009278098E-9</v>
      </c>
      <c r="T112">
        <f t="shared" si="49"/>
        <v>7.7983743008447195E-19</v>
      </c>
    </row>
    <row r="113" spans="1:20" x14ac:dyDescent="0.25">
      <c r="A113">
        <v>3.8999999999999702</v>
      </c>
      <c r="B113">
        <f t="shared" si="35"/>
        <v>0</v>
      </c>
      <c r="C113">
        <f t="shared" si="36"/>
        <v>0</v>
      </c>
      <c r="D113">
        <f t="shared" si="37"/>
        <v>1.0990227362729903E-252</v>
      </c>
      <c r="E113">
        <f t="shared" si="38"/>
        <v>6.0282961427872612E-87</v>
      </c>
      <c r="F113">
        <f t="shared" si="39"/>
        <v>4.3020666313989595E-34</v>
      </c>
      <c r="G113">
        <f t="shared" si="40"/>
        <v>1.5664645865878588E-14</v>
      </c>
      <c r="I113">
        <f t="shared" si="41"/>
        <v>0</v>
      </c>
      <c r="J113">
        <f t="shared" si="42"/>
        <v>0</v>
      </c>
      <c r="K113">
        <f t="shared" si="43"/>
        <v>1.8522742901800951E-253</v>
      </c>
      <c r="L113">
        <f t="shared" si="44"/>
        <v>2.2338622960919584E-87</v>
      </c>
      <c r="M113">
        <f t="shared" si="45"/>
        <v>1.7917743126128853E-34</v>
      </c>
      <c r="N113">
        <f t="shared" si="46"/>
        <v>2.0416372716801371E-15</v>
      </c>
      <c r="P113">
        <f t="shared" si="47"/>
        <v>2.0416372716801371E-15</v>
      </c>
      <c r="R113">
        <f t="shared" si="48"/>
        <v>5.7037576293327932E-10</v>
      </c>
      <c r="T113">
        <f t="shared" si="49"/>
        <v>2.4741056136921115E-19</v>
      </c>
    </row>
    <row r="114" spans="1:20" x14ac:dyDescent="0.25">
      <c r="A114">
        <v>3.9999999999999698</v>
      </c>
      <c r="B114">
        <f t="shared" si="35"/>
        <v>0</v>
      </c>
      <c r="C114">
        <f t="shared" si="36"/>
        <v>0</v>
      </c>
      <c r="D114">
        <f t="shared" si="37"/>
        <v>7.9496081343202652E-266</v>
      </c>
      <c r="E114">
        <f t="shared" si="38"/>
        <v>1.8451126327712063E-91</v>
      </c>
      <c r="F114">
        <f t="shared" si="39"/>
        <v>7.5978753575687875E-36</v>
      </c>
      <c r="G114">
        <f t="shared" si="40"/>
        <v>2.9712867439995126E-15</v>
      </c>
      <c r="I114">
        <f t="shared" si="41"/>
        <v>0</v>
      </c>
      <c r="J114">
        <f t="shared" si="42"/>
        <v>0</v>
      </c>
      <c r="K114">
        <f t="shared" si="43"/>
        <v>1.3398134795775889E-266</v>
      </c>
      <c r="L114">
        <f t="shared" si="44"/>
        <v>6.8373010296153612E-92</v>
      </c>
      <c r="M114">
        <f t="shared" si="45"/>
        <v>3.164450730903546E-36</v>
      </c>
      <c r="N114">
        <f t="shared" si="46"/>
        <v>3.8725993637764762E-16</v>
      </c>
      <c r="P114">
        <f t="shared" si="47"/>
        <v>3.8725993637764762E-16</v>
      </c>
      <c r="R114">
        <f t="shared" si="48"/>
        <v>3.1302885564379221E-10</v>
      </c>
      <c r="T114">
        <f t="shared" si="49"/>
        <v>7.8389457614992918E-20</v>
      </c>
    </row>
    <row r="115" spans="1:20" x14ac:dyDescent="0.25">
      <c r="A115">
        <v>4.0999999999999703</v>
      </c>
      <c r="B115">
        <f t="shared" si="35"/>
        <v>0</v>
      </c>
      <c r="C115">
        <f t="shared" si="36"/>
        <v>0</v>
      </c>
      <c r="D115">
        <f t="shared" si="37"/>
        <v>2.673066753760931E-279</v>
      </c>
      <c r="E115">
        <f t="shared" si="38"/>
        <v>4.3407858205801414E-96</v>
      </c>
      <c r="F115">
        <f t="shared" si="39"/>
        <v>1.2115123080588021E-37</v>
      </c>
      <c r="G115">
        <f t="shared" si="40"/>
        <v>5.4036931043907916E-16</v>
      </c>
      <c r="I115">
        <f t="shared" si="41"/>
        <v>0</v>
      </c>
      <c r="J115">
        <f t="shared" si="42"/>
        <v>0</v>
      </c>
      <c r="K115">
        <f t="shared" si="43"/>
        <v>4.50514139563413E-280</v>
      </c>
      <c r="L115">
        <f t="shared" si="44"/>
        <v>1.608533746572239E-96</v>
      </c>
      <c r="M115">
        <f t="shared" si="45"/>
        <v>5.0458461455493941E-38</v>
      </c>
      <c r="N115">
        <f t="shared" si="46"/>
        <v>7.0428539151825947E-17</v>
      </c>
      <c r="P115">
        <f t="shared" si="47"/>
        <v>7.0428539151825947E-17</v>
      </c>
      <c r="R115">
        <f t="shared" si="48"/>
        <v>1.7179387841050959E-10</v>
      </c>
      <c r="T115">
        <f t="shared" si="49"/>
        <v>2.4805771023424869E-20</v>
      </c>
    </row>
    <row r="116" spans="1:20" x14ac:dyDescent="0.25">
      <c r="A116">
        <v>4.19999999999997</v>
      </c>
      <c r="B116">
        <f t="shared" si="35"/>
        <v>0</v>
      </c>
      <c r="C116">
        <f t="shared" si="36"/>
        <v>0</v>
      </c>
      <c r="D116">
        <f t="shared" si="37"/>
        <v>4.1782933404752995E-293</v>
      </c>
      <c r="E116">
        <f t="shared" si="38"/>
        <v>7.8493013979484722E-101</v>
      </c>
      <c r="F116">
        <f t="shared" si="39"/>
        <v>1.744151196441341E-39</v>
      </c>
      <c r="G116">
        <f t="shared" si="40"/>
        <v>9.4223430601187609E-17</v>
      </c>
      <c r="I116">
        <f t="shared" si="41"/>
        <v>0</v>
      </c>
      <c r="J116">
        <f t="shared" si="42"/>
        <v>0</v>
      </c>
      <c r="K116">
        <f t="shared" si="43"/>
        <v>7.0420247697866548E-294</v>
      </c>
      <c r="L116">
        <f t="shared" si="44"/>
        <v>2.9086591017129099E-101</v>
      </c>
      <c r="M116">
        <f t="shared" si="45"/>
        <v>7.2642420000835435E-40</v>
      </c>
      <c r="N116">
        <f t="shared" si="46"/>
        <v>1.2280524528165699E-17</v>
      </c>
      <c r="P116">
        <f t="shared" si="47"/>
        <v>1.2280524528165699E-17</v>
      </c>
      <c r="R116">
        <f t="shared" si="48"/>
        <v>9.4282479481410547E-11</v>
      </c>
      <c r="T116">
        <f t="shared" si="49"/>
        <v>7.8402599541506704E-21</v>
      </c>
    </row>
    <row r="117" spans="1:20" x14ac:dyDescent="0.25">
      <c r="A117">
        <v>4.2999999999999696</v>
      </c>
      <c r="B117">
        <f t="shared" si="35"/>
        <v>0</v>
      </c>
      <c r="C117">
        <f t="shared" si="36"/>
        <v>0</v>
      </c>
      <c r="D117">
        <f t="shared" si="37"/>
        <v>3.036079141336619E-307</v>
      </c>
      <c r="E117">
        <f t="shared" si="38"/>
        <v>1.0909650188105583E-105</v>
      </c>
      <c r="F117">
        <f t="shared" si="39"/>
        <v>2.2670498168497166E-41</v>
      </c>
      <c r="G117">
        <f t="shared" si="40"/>
        <v>1.5752492276017871E-17</v>
      </c>
      <c r="I117">
        <f t="shared" si="41"/>
        <v>0</v>
      </c>
      <c r="J117">
        <f t="shared" si="42"/>
        <v>0</v>
      </c>
      <c r="K117">
        <f t="shared" si="43"/>
        <v>5.116956320231213E-308</v>
      </c>
      <c r="L117">
        <f t="shared" si="44"/>
        <v>4.0427105174520363E-106</v>
      </c>
      <c r="M117">
        <f t="shared" si="45"/>
        <v>9.4420704635254826E-42</v>
      </c>
      <c r="N117">
        <f t="shared" si="46"/>
        <v>2.0530866530871137E-18</v>
      </c>
      <c r="P117">
        <f t="shared" si="47"/>
        <v>2.0530866530871137E-18</v>
      </c>
      <c r="R117">
        <f t="shared" si="48"/>
        <v>5.1743321819194324E-11</v>
      </c>
      <c r="T117">
        <f t="shared" si="49"/>
        <v>2.4752296193161005E-21</v>
      </c>
    </row>
    <row r="118" spans="1:20" x14ac:dyDescent="0.25">
      <c r="A118">
        <v>4.3999999999999702</v>
      </c>
      <c r="B118">
        <f t="shared" si="35"/>
        <v>0</v>
      </c>
      <c r="C118">
        <f t="shared" si="36"/>
        <v>0</v>
      </c>
      <c r="D118">
        <f t="shared" si="37"/>
        <v>0</v>
      </c>
      <c r="E118">
        <f t="shared" si="38"/>
        <v>1.1654880301376495E-110</v>
      </c>
      <c r="F118">
        <f t="shared" si="39"/>
        <v>2.6604716204332009E-43</v>
      </c>
      <c r="G118">
        <f t="shared" si="40"/>
        <v>2.5250022203417991E-18</v>
      </c>
      <c r="I118">
        <f t="shared" si="41"/>
        <v>0</v>
      </c>
      <c r="J118">
        <f t="shared" si="42"/>
        <v>0</v>
      </c>
      <c r="K118">
        <f t="shared" si="43"/>
        <v>0</v>
      </c>
      <c r="L118">
        <f t="shared" si="44"/>
        <v>4.3188650746464537E-111</v>
      </c>
      <c r="M118">
        <f t="shared" si="45"/>
        <v>1.1080638951837088E-43</v>
      </c>
      <c r="N118">
        <f t="shared" si="46"/>
        <v>3.2909385173871477E-19</v>
      </c>
      <c r="P118">
        <f t="shared" si="47"/>
        <v>3.2909385173871477E-19</v>
      </c>
      <c r="R118">
        <f t="shared" si="48"/>
        <v>2.8397337104531733E-11</v>
      </c>
      <c r="T118">
        <f t="shared" si="49"/>
        <v>7.8060365638762167E-22</v>
      </c>
    </row>
    <row r="119" spans="1:20" x14ac:dyDescent="0.25">
      <c r="A119">
        <v>4.4999999999999698</v>
      </c>
      <c r="B119">
        <f t="shared" si="35"/>
        <v>0</v>
      </c>
      <c r="C119">
        <f t="shared" si="36"/>
        <v>0</v>
      </c>
      <c r="D119">
        <f t="shared" si="37"/>
        <v>0</v>
      </c>
      <c r="E119">
        <f t="shared" si="38"/>
        <v>9.5702213335796734E-116</v>
      </c>
      <c r="F119">
        <f t="shared" si="39"/>
        <v>2.818881577872016E-45</v>
      </c>
      <c r="G119">
        <f t="shared" si="40"/>
        <v>3.8805776633278028E-19</v>
      </c>
      <c r="I119">
        <f t="shared" si="41"/>
        <v>0</v>
      </c>
      <c r="J119">
        <f t="shared" si="42"/>
        <v>0</v>
      </c>
      <c r="K119">
        <f t="shared" si="43"/>
        <v>0</v>
      </c>
      <c r="L119">
        <f t="shared" si="44"/>
        <v>3.5463680111199515E-116</v>
      </c>
      <c r="M119">
        <f t="shared" si="45"/>
        <v>1.1740403006929538E-45</v>
      </c>
      <c r="N119">
        <f t="shared" si="46"/>
        <v>5.0577153552874731E-20</v>
      </c>
      <c r="P119">
        <f t="shared" si="47"/>
        <v>5.0577153552874731E-20</v>
      </c>
      <c r="R119">
        <f t="shared" si="48"/>
        <v>1.5584789037051696E-11</v>
      </c>
      <c r="T119">
        <f t="shared" si="49"/>
        <v>2.4592171834984666E-22</v>
      </c>
    </row>
    <row r="120" spans="1:20" x14ac:dyDescent="0.25">
      <c r="A120">
        <v>4.5999999999999703</v>
      </c>
      <c r="B120">
        <f t="shared" si="35"/>
        <v>0</v>
      </c>
      <c r="C120">
        <f t="shared" si="36"/>
        <v>0</v>
      </c>
      <c r="D120">
        <f t="shared" si="37"/>
        <v>0</v>
      </c>
      <c r="E120">
        <f t="shared" si="38"/>
        <v>6.040227810607107E-121</v>
      </c>
      <c r="F120">
        <f t="shared" si="39"/>
        <v>2.6965946336386353E-47</v>
      </c>
      <c r="G120">
        <f t="shared" si="40"/>
        <v>5.7181181005527166E-20</v>
      </c>
      <c r="I120">
        <f t="shared" si="41"/>
        <v>0</v>
      </c>
      <c r="J120">
        <f t="shared" si="42"/>
        <v>0</v>
      </c>
      <c r="K120">
        <f t="shared" si="43"/>
        <v>0</v>
      </c>
      <c r="L120">
        <f t="shared" si="44"/>
        <v>2.2382837283243711E-121</v>
      </c>
      <c r="M120">
        <f t="shared" si="45"/>
        <v>1.1231088242146258E-47</v>
      </c>
      <c r="N120">
        <f t="shared" si="46"/>
        <v>7.4526568541117006E-21</v>
      </c>
      <c r="P120">
        <f t="shared" si="47"/>
        <v>7.4526568541117006E-21</v>
      </c>
      <c r="R120">
        <f t="shared" si="48"/>
        <v>8.5531135696045454E-12</v>
      </c>
      <c r="T120">
        <f t="shared" si="49"/>
        <v>7.7398785200275426E-23</v>
      </c>
    </row>
    <row r="121" spans="1:20" x14ac:dyDescent="0.25">
      <c r="A121">
        <v>4.69999999999997</v>
      </c>
      <c r="B121">
        <f t="shared" si="35"/>
        <v>0</v>
      </c>
      <c r="C121">
        <f t="shared" si="36"/>
        <v>0</v>
      </c>
      <c r="D121">
        <f t="shared" si="37"/>
        <v>0</v>
      </c>
      <c r="E121">
        <f t="shared" si="38"/>
        <v>2.930230789849777E-126</v>
      </c>
      <c r="F121">
        <f t="shared" si="39"/>
        <v>2.3290302760895037E-49</v>
      </c>
      <c r="G121">
        <f t="shared" si="40"/>
        <v>8.0785234224140192E-21</v>
      </c>
      <c r="I121">
        <f t="shared" si="41"/>
        <v>0</v>
      </c>
      <c r="J121">
        <f t="shared" si="42"/>
        <v>0</v>
      </c>
      <c r="K121">
        <f t="shared" si="43"/>
        <v>0</v>
      </c>
      <c r="L121">
        <f t="shared" si="44"/>
        <v>1.0858345252538757E-126</v>
      </c>
      <c r="M121">
        <f t="shared" si="45"/>
        <v>9.7002138263903378E-50</v>
      </c>
      <c r="N121">
        <f t="shared" si="46"/>
        <v>1.0529069511407286E-21</v>
      </c>
      <c r="P121">
        <f t="shared" si="47"/>
        <v>1.0529069511407286E-21</v>
      </c>
      <c r="R121">
        <f t="shared" si="48"/>
        <v>4.6940482518327168E-12</v>
      </c>
      <c r="T121">
        <f t="shared" si="49"/>
        <v>2.4336651279126503E-23</v>
      </c>
    </row>
    <row r="122" spans="1:20" x14ac:dyDescent="0.25">
      <c r="A122">
        <v>4.7999999999999696</v>
      </c>
      <c r="B122">
        <f t="shared" si="35"/>
        <v>0</v>
      </c>
      <c r="C122">
        <f t="shared" si="36"/>
        <v>0</v>
      </c>
      <c r="D122">
        <f t="shared" si="37"/>
        <v>0</v>
      </c>
      <c r="E122">
        <f t="shared" si="38"/>
        <v>1.0926158808210864E-131</v>
      </c>
      <c r="F122">
        <f t="shared" si="39"/>
        <v>1.8161647246374543E-51</v>
      </c>
      <c r="G122">
        <f t="shared" si="40"/>
        <v>1.0942913901801341E-21</v>
      </c>
      <c r="I122">
        <f t="shared" si="41"/>
        <v>0</v>
      </c>
      <c r="J122">
        <f t="shared" si="42"/>
        <v>0</v>
      </c>
      <c r="K122">
        <f t="shared" si="43"/>
        <v>0</v>
      </c>
      <c r="L122">
        <f t="shared" si="44"/>
        <v>4.0488279979374329E-132</v>
      </c>
      <c r="M122">
        <f t="shared" si="45"/>
        <v>7.5641722453304902E-52</v>
      </c>
      <c r="N122">
        <f t="shared" si="46"/>
        <v>1.426234660776435E-22</v>
      </c>
      <c r="P122">
        <f t="shared" si="47"/>
        <v>1.426234660776435E-22</v>
      </c>
      <c r="R122">
        <f t="shared" si="48"/>
        <v>2.5761483009926142E-12</v>
      </c>
      <c r="T122">
        <f t="shared" si="49"/>
        <v>7.6452941583039864E-24</v>
      </c>
    </row>
    <row r="123" spans="1:20" x14ac:dyDescent="0.25">
      <c r="A123">
        <v>4.8999999999999604</v>
      </c>
      <c r="B123">
        <f t="shared" si="35"/>
        <v>0</v>
      </c>
      <c r="C123">
        <f t="shared" si="36"/>
        <v>0</v>
      </c>
      <c r="D123">
        <f t="shared" si="37"/>
        <v>0</v>
      </c>
      <c r="E123">
        <f t="shared" si="38"/>
        <v>3.131485188498307E-137</v>
      </c>
      <c r="F123">
        <f t="shared" si="39"/>
        <v>1.278662627276066E-53</v>
      </c>
      <c r="G123">
        <f t="shared" si="40"/>
        <v>1.4212029561444639E-22</v>
      </c>
      <c r="I123">
        <f t="shared" si="41"/>
        <v>0</v>
      </c>
      <c r="J123">
        <f t="shared" si="42"/>
        <v>0</v>
      </c>
      <c r="K123">
        <f t="shared" si="43"/>
        <v>0</v>
      </c>
      <c r="L123">
        <f t="shared" si="44"/>
        <v>1.160411918669015E-137</v>
      </c>
      <c r="M123">
        <f t="shared" si="45"/>
        <v>5.3255215373229591E-54</v>
      </c>
      <c r="N123">
        <f t="shared" si="46"/>
        <v>1.8523118560930118E-23</v>
      </c>
      <c r="P123">
        <f t="shared" si="47"/>
        <v>1.8523118560930118E-23</v>
      </c>
      <c r="R123">
        <f t="shared" si="48"/>
        <v>1.4138201638886814E-12</v>
      </c>
      <c r="T123">
        <f t="shared" si="49"/>
        <v>2.3996643906468537E-24</v>
      </c>
    </row>
    <row r="124" spans="1:20" x14ac:dyDescent="0.25">
      <c r="A124">
        <v>4.99999999999996</v>
      </c>
      <c r="B124">
        <f t="shared" si="35"/>
        <v>0</v>
      </c>
      <c r="C124">
        <f t="shared" si="36"/>
        <v>0</v>
      </c>
      <c r="D124">
        <f t="shared" si="37"/>
        <v>0</v>
      </c>
      <c r="E124">
        <f t="shared" si="38"/>
        <v>6.8984319964958185E-143</v>
      </c>
      <c r="F124">
        <f t="shared" si="39"/>
        <v>8.127881088551403E-56</v>
      </c>
      <c r="G124">
        <f t="shared" si="40"/>
        <v>1.7697069166837656E-23</v>
      </c>
      <c r="I124">
        <f t="shared" si="41"/>
        <v>0</v>
      </c>
      <c r="J124">
        <f t="shared" si="42"/>
        <v>0</v>
      </c>
      <c r="K124">
        <f t="shared" si="43"/>
        <v>0</v>
      </c>
      <c r="L124">
        <f t="shared" si="44"/>
        <v>2.556302274161551E-143</v>
      </c>
      <c r="M124">
        <f t="shared" si="45"/>
        <v>3.3851936286032629E-56</v>
      </c>
      <c r="N124">
        <f t="shared" si="46"/>
        <v>2.3065313011141359E-24</v>
      </c>
      <c r="P124">
        <f t="shared" si="47"/>
        <v>2.3065313011141359E-24</v>
      </c>
      <c r="R124">
        <f t="shared" si="48"/>
        <v>7.7592095728647623E-13</v>
      </c>
      <c r="T124">
        <f t="shared" si="49"/>
        <v>7.5256666494096591E-25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I12:O24"/>
  <sheetViews>
    <sheetView topLeftCell="H8" workbookViewId="0">
      <selection activeCell="I21" sqref="I21:N22"/>
    </sheetView>
  </sheetViews>
  <sheetFormatPr defaultRowHeight="15" x14ac:dyDescent="0.25"/>
  <cols>
    <col min="9" max="15" width="17" bestFit="1" customWidth="1"/>
  </cols>
  <sheetData>
    <row r="12" spans="10:15" x14ac:dyDescent="0.25">
      <c r="J12" s="3">
        <f>N12/K12</f>
        <v>1.0053114432688934</v>
      </c>
      <c r="K12">
        <v>742.73704910000004</v>
      </c>
      <c r="L12">
        <v>9.1635962800000002E-3</v>
      </c>
      <c r="N12" s="4">
        <v>746.68205479999995</v>
      </c>
      <c r="O12" t="s">
        <v>25</v>
      </c>
    </row>
    <row r="13" spans="10:15" x14ac:dyDescent="0.25">
      <c r="J13" s="3">
        <f t="shared" ref="J13:J17" si="0">N13/K13</f>
        <v>1.0053114434406305</v>
      </c>
      <c r="K13">
        <v>136.18002490000001</v>
      </c>
      <c r="L13">
        <v>4.9361492940000001E-2</v>
      </c>
      <c r="N13" s="4">
        <v>136.9033374</v>
      </c>
      <c r="O13" t="s">
        <v>26</v>
      </c>
    </row>
    <row r="14" spans="10:15" x14ac:dyDescent="0.25">
      <c r="J14" s="3">
        <f t="shared" si="0"/>
        <v>1.0053114433914754</v>
      </c>
      <c r="K14">
        <v>38.098263520000003</v>
      </c>
      <c r="L14">
        <v>0.16853830489999999</v>
      </c>
      <c r="N14" s="4">
        <v>38.300620289999998</v>
      </c>
      <c r="O14" t="s">
        <v>27</v>
      </c>
    </row>
    <row r="15" spans="10:15" x14ac:dyDescent="0.25">
      <c r="J15" s="3">
        <f t="shared" si="0"/>
        <v>1.0053114432393229</v>
      </c>
      <c r="K15">
        <v>13.087781769999999</v>
      </c>
      <c r="L15">
        <v>0.3705627997</v>
      </c>
      <c r="N15" s="4">
        <v>13.157296779999999</v>
      </c>
      <c r="O15" t="s">
        <v>28</v>
      </c>
    </row>
    <row r="16" spans="10:15" x14ac:dyDescent="0.25">
      <c r="J16" s="3">
        <f t="shared" si="0"/>
        <v>1.0053114433189774</v>
      </c>
      <c r="K16">
        <v>5.0823686480000001</v>
      </c>
      <c r="L16">
        <v>0.41649152979999998</v>
      </c>
      <c r="N16" s="4">
        <v>5.1093633609999998</v>
      </c>
      <c r="O16" t="s">
        <v>29</v>
      </c>
    </row>
    <row r="17" spans="9:15" x14ac:dyDescent="0.25">
      <c r="J17" s="3">
        <f t="shared" si="0"/>
        <v>1.0053114430519445</v>
      </c>
      <c r="K17">
        <v>2.093200076</v>
      </c>
      <c r="L17">
        <v>0.1303340841</v>
      </c>
      <c r="N17" s="4">
        <v>2.1043179890000001</v>
      </c>
      <c r="O17" t="s">
        <v>30</v>
      </c>
    </row>
    <row r="21" spans="9:15" x14ac:dyDescent="0.25">
      <c r="I21">
        <v>746.68205479999995</v>
      </c>
      <c r="J21">
        <v>136.9033374</v>
      </c>
      <c r="K21">
        <v>38.300620289999998</v>
      </c>
      <c r="L21">
        <v>13.157296779999999</v>
      </c>
      <c r="M21">
        <v>5.1093633609999998</v>
      </c>
      <c r="N21">
        <v>2.1043179890000001</v>
      </c>
    </row>
    <row r="22" spans="9:15" x14ac:dyDescent="0.25">
      <c r="I22">
        <v>9.1635962810000006E-3</v>
      </c>
      <c r="J22">
        <v>4.9361492940000001E-2</v>
      </c>
      <c r="K22">
        <v>0.16853830489999999</v>
      </c>
      <c r="L22">
        <v>0.3705627997</v>
      </c>
      <c r="M22">
        <v>0.41649152979999998</v>
      </c>
      <c r="N22">
        <v>0.1303340841</v>
      </c>
    </row>
    <row r="23" spans="9:15" x14ac:dyDescent="0.25">
      <c r="I23">
        <v>746.68205479999995</v>
      </c>
      <c r="J23">
        <v>136.9033374</v>
      </c>
      <c r="K23">
        <v>38.300620289999998</v>
      </c>
      <c r="L23">
        <v>13.157296779999999</v>
      </c>
      <c r="M23">
        <v>5.1093633609999998</v>
      </c>
      <c r="N23">
        <v>2.1043179890000001</v>
      </c>
    </row>
    <row r="24" spans="9:15" x14ac:dyDescent="0.25">
      <c r="I24">
        <v>606.18432380659806</v>
      </c>
      <c r="J24">
        <v>156.20878213252522</v>
      </c>
      <c r="K24">
        <v>42.760593018439742</v>
      </c>
      <c r="L24">
        <v>14.641981438956702</v>
      </c>
      <c r="M24">
        <v>5.6934614796385361</v>
      </c>
      <c r="N24">
        <v>2.34164811930316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84"/>
  <sheetViews>
    <sheetView workbookViewId="0">
      <selection activeCell="M28" sqref="M28"/>
    </sheetView>
  </sheetViews>
  <sheetFormatPr defaultRowHeight="15" x14ac:dyDescent="0.25"/>
  <cols>
    <col min="17" max="17" width="12" bestFit="1" customWidth="1"/>
  </cols>
  <sheetData>
    <row r="1" spans="1:17" x14ac:dyDescent="0.25">
      <c r="A1">
        <v>0</v>
      </c>
      <c r="B1">
        <f>S_1(1,A1)</f>
        <v>2</v>
      </c>
      <c r="C1">
        <f>S_2(1,A1)</f>
        <v>0.70710678118654757</v>
      </c>
    </row>
    <row r="2" spans="1:17" x14ac:dyDescent="0.25">
      <c r="A2">
        <v>0.1</v>
      </c>
      <c r="B2">
        <f t="shared" ref="B2:B65" si="0">S_1(1,A2)</f>
        <v>1.809674836071919</v>
      </c>
      <c r="C2">
        <f t="shared" ref="C2:C65" si="1">S_2(1,A2)</f>
        <v>0.63898973770220036</v>
      </c>
    </row>
    <row r="3" spans="1:17" x14ac:dyDescent="0.25">
      <c r="A3">
        <v>0.2</v>
      </c>
      <c r="B3">
        <f t="shared" si="0"/>
        <v>1.6374615061559636</v>
      </c>
      <c r="C3">
        <f t="shared" si="1"/>
        <v>0.57583500674809851</v>
      </c>
    </row>
    <row r="4" spans="1:17" x14ac:dyDescent="0.25">
      <c r="A4">
        <v>0.3</v>
      </c>
      <c r="B4">
        <f t="shared" si="0"/>
        <v>1.4816364413634358</v>
      </c>
      <c r="C4">
        <f t="shared" si="1"/>
        <v>0.51732057973878309</v>
      </c>
    </row>
    <row r="5" spans="1:17" x14ac:dyDescent="0.25">
      <c r="A5">
        <v>0.4</v>
      </c>
      <c r="B5">
        <f t="shared" si="0"/>
        <v>1.3406400920712787</v>
      </c>
      <c r="C5">
        <f t="shared" si="1"/>
        <v>0.46314405397392788</v>
      </c>
    </row>
    <row r="6" spans="1:17" x14ac:dyDescent="0.25">
      <c r="A6">
        <v>0.5</v>
      </c>
      <c r="B6">
        <f t="shared" si="0"/>
        <v>1.2130613194252668</v>
      </c>
      <c r="C6">
        <f t="shared" si="1"/>
        <v>0.41302148617738788</v>
      </c>
      <c r="Q6" t="e">
        <f>S</f>
        <v>#NAME?</v>
      </c>
    </row>
    <row r="7" spans="1:17" x14ac:dyDescent="0.25">
      <c r="A7">
        <v>0.6</v>
      </c>
      <c r="B7">
        <f t="shared" si="0"/>
        <v>1.097623272188053</v>
      </c>
      <c r="C7">
        <f t="shared" si="1"/>
        <v>0.36668631122941647</v>
      </c>
    </row>
    <row r="8" spans="1:17" x14ac:dyDescent="0.25">
      <c r="A8">
        <v>0.7</v>
      </c>
      <c r="B8">
        <f t="shared" si="0"/>
        <v>0.99317060758281905</v>
      </c>
      <c r="C8">
        <f t="shared" si="1"/>
        <v>0.32388832245997273</v>
      </c>
    </row>
    <row r="9" spans="1:17" x14ac:dyDescent="0.25">
      <c r="A9">
        <v>0.8</v>
      </c>
      <c r="B9">
        <f t="shared" si="0"/>
        <v>0.89865792823444313</v>
      </c>
      <c r="C9">
        <f t="shared" si="1"/>
        <v>0.28439271007024758</v>
      </c>
    </row>
    <row r="10" spans="1:17" x14ac:dyDescent="0.25">
      <c r="A10">
        <v>0.9</v>
      </c>
      <c r="B10">
        <f t="shared" si="0"/>
        <v>0.81313931948119822</v>
      </c>
      <c r="C10">
        <f t="shared" si="1"/>
        <v>0.24797915443796006</v>
      </c>
    </row>
    <row r="11" spans="1:17" x14ac:dyDescent="0.25">
      <c r="A11">
        <v>1</v>
      </c>
      <c r="B11">
        <f t="shared" si="0"/>
        <v>0.73575888234288467</v>
      </c>
      <c r="C11">
        <f t="shared" si="1"/>
        <v>0.21444097124017672</v>
      </c>
    </row>
    <row r="12" spans="1:17" x14ac:dyDescent="0.25">
      <c r="A12">
        <v>1.1000000000000001</v>
      </c>
      <c r="B12">
        <f t="shared" si="0"/>
        <v>0.6657421673961591</v>
      </c>
      <c r="C12">
        <f t="shared" si="1"/>
        <v>0.18358430549595067</v>
      </c>
      <c r="L12" t="e">
        <f ca="1">S1(3)</f>
        <v>#REF!</v>
      </c>
      <c r="O12" t="e">
        <f ca="1">S1(122)</f>
        <v>#REF!</v>
      </c>
      <c r="Q12" t="e">
        <f>S_1(3)</f>
        <v>#VALUE!</v>
      </c>
    </row>
    <row r="13" spans="1:17" x14ac:dyDescent="0.25">
      <c r="A13">
        <v>1.2</v>
      </c>
      <c r="B13">
        <f t="shared" si="0"/>
        <v>0.60238842382440427</v>
      </c>
      <c r="C13">
        <f t="shared" si="1"/>
        <v>0.155227371790468</v>
      </c>
    </row>
    <row r="14" spans="1:17" x14ac:dyDescent="0.25">
      <c r="A14">
        <v>1.3</v>
      </c>
      <c r="B14">
        <f t="shared" si="0"/>
        <v>0.54506358606802519</v>
      </c>
      <c r="C14">
        <f t="shared" si="1"/>
        <v>0.12919973809312957</v>
      </c>
    </row>
    <row r="15" spans="1:17" x14ac:dyDescent="0.25">
      <c r="A15">
        <v>1.4</v>
      </c>
      <c r="B15">
        <f t="shared" si="0"/>
        <v>0.49319392788321298</v>
      </c>
      <c r="C15">
        <f t="shared" si="1"/>
        <v>0.10534165072454627</v>
      </c>
      <c r="I15" t="e">
        <f ca="1">S1(J10)</f>
        <v>#REF!</v>
      </c>
      <c r="Q15" t="e">
        <f>S_1(1,3,2)</f>
        <v>#VALUE!</v>
      </c>
    </row>
    <row r="16" spans="1:17" x14ac:dyDescent="0.25">
      <c r="A16">
        <v>1.5</v>
      </c>
      <c r="B16">
        <f t="shared" si="0"/>
        <v>0.44626032029685964</v>
      </c>
      <c r="C16">
        <f t="shared" si="1"/>
        <v>8.3503398162221118E-2</v>
      </c>
    </row>
    <row r="17" spans="1:15" x14ac:dyDescent="0.25">
      <c r="A17">
        <v>1.6</v>
      </c>
      <c r="B17">
        <f t="shared" si="0"/>
        <v>0.40379303598931077</v>
      </c>
      <c r="C17">
        <f t="shared" si="1"/>
        <v>6.3544711502162843E-2</v>
      </c>
    </row>
    <row r="18" spans="1:15" x14ac:dyDescent="0.25">
      <c r="A18">
        <v>1.7</v>
      </c>
      <c r="B18">
        <f t="shared" si="0"/>
        <v>0.36536704810546933</v>
      </c>
      <c r="C18">
        <f t="shared" si="1"/>
        <v>4.5334199514199723E-2</v>
      </c>
    </row>
    <row r="19" spans="1:15" x14ac:dyDescent="0.25">
      <c r="A19">
        <v>1.8</v>
      </c>
      <c r="B19">
        <f t="shared" si="0"/>
        <v>0.33059777644317306</v>
      </c>
      <c r="C19">
        <f t="shared" si="1"/>
        <v>2.8748816342728484E-2</v>
      </c>
      <c r="O19" t="e">
        <f ca="1">S1(6)</f>
        <v>#REF!</v>
      </c>
    </row>
    <row r="20" spans="1:15" x14ac:dyDescent="0.25">
      <c r="A20">
        <v>1.9</v>
      </c>
      <c r="B20">
        <f t="shared" si="0"/>
        <v>0.29913723844527013</v>
      </c>
      <c r="C20">
        <f t="shared" si="1"/>
        <v>1.3673360012385186E-2</v>
      </c>
    </row>
    <row r="21" spans="1:15" x14ac:dyDescent="0.25">
      <c r="A21">
        <v>2</v>
      </c>
      <c r="B21">
        <f t="shared" si="0"/>
        <v>0.2706705664732254</v>
      </c>
      <c r="C21">
        <f t="shared" si="1"/>
        <v>0</v>
      </c>
    </row>
    <row r="22" spans="1:15" x14ac:dyDescent="0.25">
      <c r="A22">
        <v>2.1</v>
      </c>
      <c r="B22">
        <f t="shared" si="0"/>
        <v>0.24491285650596381</v>
      </c>
      <c r="C22">
        <f t="shared" si="1"/>
        <v>-1.2372167769482747E-2</v>
      </c>
    </row>
    <row r="23" spans="1:15" x14ac:dyDescent="0.25">
      <c r="A23">
        <v>2.2000000000000002</v>
      </c>
      <c r="B23">
        <f t="shared" si="0"/>
        <v>0.22160631672466774</v>
      </c>
      <c r="C23">
        <f t="shared" si="1"/>
        <v>-2.3537540054382713E-2</v>
      </c>
    </row>
    <row r="24" spans="1:15" x14ac:dyDescent="0.25">
      <c r="A24">
        <v>2.2999999999999998</v>
      </c>
      <c r="B24">
        <f t="shared" si="0"/>
        <v>0.2005176874456075</v>
      </c>
      <c r="C24">
        <f t="shared" si="1"/>
        <v>-3.3584401020139411E-2</v>
      </c>
    </row>
    <row r="25" spans="1:15" x14ac:dyDescent="0.25">
      <c r="A25">
        <v>2.4</v>
      </c>
      <c r="B25">
        <f t="shared" si="0"/>
        <v>0.18143590657882502</v>
      </c>
      <c r="C25">
        <f t="shared" si="1"/>
        <v>-4.2595293939451218E-2</v>
      </c>
    </row>
    <row r="26" spans="1:15" x14ac:dyDescent="0.25">
      <c r="A26">
        <v>2.5</v>
      </c>
      <c r="B26">
        <f t="shared" si="0"/>
        <v>0.1641699972477976</v>
      </c>
      <c r="C26">
        <f t="shared" si="1"/>
        <v>-5.0647371175578673E-2</v>
      </c>
    </row>
    <row r="27" spans="1:15" x14ac:dyDescent="0.25">
      <c r="A27">
        <v>2.6</v>
      </c>
      <c r="B27">
        <f t="shared" si="0"/>
        <v>0.14854715642866775</v>
      </c>
      <c r="C27">
        <f t="shared" si="1"/>
        <v>-5.7812723682983715E-2</v>
      </c>
    </row>
    <row r="28" spans="1:15" x14ac:dyDescent="0.25">
      <c r="A28">
        <v>2.7</v>
      </c>
      <c r="B28">
        <f t="shared" si="0"/>
        <v>0.13441102547949951</v>
      </c>
      <c r="C28">
        <f t="shared" si="1"/>
        <v>-6.4158691190747297E-2</v>
      </c>
    </row>
    <row r="29" spans="1:15" x14ac:dyDescent="0.25">
      <c r="A29">
        <v>2.8</v>
      </c>
      <c r="B29">
        <f t="shared" si="0"/>
        <v>0.12162012525043595</v>
      </c>
      <c r="C29">
        <f t="shared" si="1"/>
        <v>-6.9748154169249788E-2</v>
      </c>
    </row>
    <row r="30" spans="1:15" x14ac:dyDescent="0.25">
      <c r="A30">
        <v>2.9</v>
      </c>
      <c r="B30">
        <f t="shared" si="0"/>
        <v>0.11004644011281446</v>
      </c>
      <c r="C30">
        <f t="shared" si="1"/>
        <v>-7.4639808619202871E-2</v>
      </c>
    </row>
    <row r="31" spans="1:15" x14ac:dyDescent="0.25">
      <c r="A31">
        <v>3</v>
      </c>
      <c r="B31">
        <f t="shared" si="0"/>
        <v>9.9574136735727889E-2</v>
      </c>
      <c r="C31">
        <f t="shared" si="1"/>
        <v>-7.888842466409754E-2</v>
      </c>
    </row>
    <row r="32" spans="1:15" x14ac:dyDescent="0.25">
      <c r="A32">
        <v>3.1</v>
      </c>
      <c r="B32">
        <f t="shared" si="0"/>
        <v>9.0098404787115602E-2</v>
      </c>
      <c r="C32">
        <f t="shared" si="1"/>
        <v>-8.2545089872297181E-2</v>
      </c>
    </row>
    <row r="33" spans="1:3" x14ac:dyDescent="0.25">
      <c r="A33">
        <v>3.2</v>
      </c>
      <c r="B33">
        <f t="shared" si="0"/>
        <v>8.1524407956732423E-2</v>
      </c>
      <c r="C33">
        <f t="shared" si="1"/>
        <v>-8.565743818318361E-2</v>
      </c>
    </row>
    <row r="34" spans="1:3" x14ac:dyDescent="0.25">
      <c r="A34">
        <v>3.3</v>
      </c>
      <c r="B34">
        <f t="shared" si="0"/>
        <v>7.376633480248003E-2</v>
      </c>
      <c r="C34">
        <f t="shared" si="1"/>
        <v>-8.8269865262794817E-2</v>
      </c>
    </row>
    <row r="35" spans="1:3" x14ac:dyDescent="0.25">
      <c r="A35">
        <v>3.4</v>
      </c>
      <c r="B35">
        <f t="shared" si="0"/>
        <v>6.6746539920652159E-2</v>
      </c>
      <c r="C35">
        <f t="shared" si="1"/>
        <v>-9.0423731068121113E-2</v>
      </c>
    </row>
    <row r="36" spans="1:3" x14ac:dyDescent="0.25">
      <c r="A36">
        <v>3.5</v>
      </c>
      <c r="B36">
        <f t="shared" si="0"/>
        <v>6.0394766844637002E-2</v>
      </c>
      <c r="C36">
        <f t="shared" si="1"/>
        <v>-9.2157550355503062E-2</v>
      </c>
    </row>
    <row r="37" spans="1:3" x14ac:dyDescent="0.25">
      <c r="A37">
        <v>3.6</v>
      </c>
      <c r="B37">
        <f t="shared" si="0"/>
        <v>5.4647444894585118E-2</v>
      </c>
      <c r="C37">
        <f t="shared" si="1"/>
        <v>-9.3507171827264784E-2</v>
      </c>
    </row>
    <row r="38" spans="1:3" x14ac:dyDescent="0.25">
      <c r="A38">
        <v>3.7</v>
      </c>
      <c r="B38">
        <f t="shared" si="0"/>
        <v>4.9447052940678776E-2</v>
      </c>
      <c r="C38">
        <f t="shared" si="1"/>
        <v>-9.4505946571684624E-2</v>
      </c>
    </row>
    <row r="39" spans="1:3" x14ac:dyDescent="0.25">
      <c r="A39">
        <v>3.8</v>
      </c>
      <c r="B39">
        <f t="shared" si="0"/>
        <v>4.4741543712331203E-2</v>
      </c>
      <c r="C39">
        <f t="shared" si="1"/>
        <v>-9.5184886414530462E-2</v>
      </c>
    </row>
    <row r="40" spans="1:3" x14ac:dyDescent="0.25">
      <c r="A40">
        <v>3.9</v>
      </c>
      <c r="B40">
        <f t="shared" si="0"/>
        <v>4.0483822891608783E-2</v>
      </c>
      <c r="C40">
        <f t="shared" si="1"/>
        <v>-9.5572812765551865E-2</v>
      </c>
    </row>
    <row r="41" spans="1:3" x14ac:dyDescent="0.25">
      <c r="A41">
        <v>4</v>
      </c>
      <c r="B41">
        <f t="shared" si="0"/>
        <v>3.6631277777468357E-2</v>
      </c>
      <c r="C41">
        <f t="shared" si="1"/>
        <v>-9.5696496510410942E-2</v>
      </c>
    </row>
    <row r="42" spans="1:3" x14ac:dyDescent="0.25">
      <c r="A42">
        <v>4.0999999999999996</v>
      </c>
      <c r="B42">
        <f t="shared" si="0"/>
        <v>3.3145350803522509E-2</v>
      </c>
      <c r="C42">
        <f t="shared" si="1"/>
        <v>-9.5580789467449412E-2</v>
      </c>
    </row>
    <row r="43" spans="1:3" x14ac:dyDescent="0.25">
      <c r="A43">
        <v>4.2</v>
      </c>
      <c r="B43">
        <f t="shared" si="0"/>
        <v>2.9991153640955406E-2</v>
      </c>
      <c r="C43">
        <f t="shared" si="1"/>
        <v>-9.5248747899324193E-2</v>
      </c>
    </row>
    <row r="44" spans="1:3" x14ac:dyDescent="0.25">
      <c r="A44">
        <v>4.3</v>
      </c>
      <c r="B44">
        <f t="shared" si="0"/>
        <v>2.7137118024401868E-2</v>
      </c>
      <c r="C44">
        <f t="shared" si="1"/>
        <v>-9.4721748541809897E-2</v>
      </c>
    </row>
    <row r="45" spans="1:3" x14ac:dyDescent="0.25">
      <c r="A45">
        <v>4.4000000000000004</v>
      </c>
      <c r="B45">
        <f t="shared" si="0"/>
        <v>2.4554679806136872E-2</v>
      </c>
      <c r="C45">
        <f t="shared" si="1"/>
        <v>-9.4019597585871847E-2</v>
      </c>
    </row>
    <row r="46" spans="1:3" x14ac:dyDescent="0.25">
      <c r="A46">
        <v>4.5</v>
      </c>
      <c r="B46">
        <f t="shared" si="0"/>
        <v>2.2217993076484612E-2</v>
      </c>
      <c r="C46">
        <f t="shared" si="1"/>
        <v>-9.3160633024372483E-2</v>
      </c>
    </row>
    <row r="47" spans="1:3" x14ac:dyDescent="0.25">
      <c r="A47">
        <v>4.5999999999999996</v>
      </c>
      <c r="B47">
        <f t="shared" si="0"/>
        <v>2.0103671489267172E-2</v>
      </c>
      <c r="C47">
        <f t="shared" si="1"/>
        <v>-9.216182075141191E-2</v>
      </c>
    </row>
    <row r="48" spans="1:3" x14ac:dyDescent="0.25">
      <c r="A48">
        <v>4.7</v>
      </c>
      <c r="B48">
        <f t="shared" si="0"/>
        <v>1.8190554203391631E-2</v>
      </c>
      <c r="C48">
        <f t="shared" si="1"/>
        <v>-9.1038844780238257E-2</v>
      </c>
    </row>
    <row r="49" spans="1:3" x14ac:dyDescent="0.25">
      <c r="A49">
        <v>4.8</v>
      </c>
      <c r="B49">
        <f t="shared" si="0"/>
        <v>1.645949409804006E-2</v>
      </c>
      <c r="C49">
        <f t="shared" si="1"/>
        <v>-8.9806191924831275E-2</v>
      </c>
    </row>
    <row r="50" spans="1:3" x14ac:dyDescent="0.25">
      <c r="A50">
        <v>4.9000000000000004</v>
      </c>
      <c r="B50">
        <f t="shared" si="0"/>
        <v>1.4893166141848676E-2</v>
      </c>
      <c r="C50">
        <f t="shared" si="1"/>
        <v>-8.8477231270588555E-2</v>
      </c>
    </row>
    <row r="51" spans="1:3" x14ac:dyDescent="0.25">
      <c r="A51">
        <v>5</v>
      </c>
      <c r="B51">
        <f t="shared" si="0"/>
        <v>1.3475893998170934E-2</v>
      </c>
      <c r="C51">
        <f t="shared" si="1"/>
        <v>-8.7064288740970899E-2</v>
      </c>
    </row>
    <row r="52" spans="1:3" x14ac:dyDescent="0.25">
      <c r="A52">
        <v>5.0999999999999996</v>
      </c>
      <c r="B52">
        <f t="shared" si="0"/>
        <v>1.2193493131031276E-2</v>
      </c>
      <c r="C52">
        <f t="shared" si="1"/>
        <v>-8.5578717049425684E-2</v>
      </c>
    </row>
    <row r="53" spans="1:3" x14ac:dyDescent="0.25">
      <c r="A53">
        <v>5.2</v>
      </c>
      <c r="B53">
        <f t="shared" si="0"/>
        <v>1.1033128841521543E-2</v>
      </c>
      <c r="C53">
        <f t="shared" si="1"/>
        <v>-8.4030961309351865E-2</v>
      </c>
    </row>
    <row r="54" spans="1:3" x14ac:dyDescent="0.25">
      <c r="A54">
        <v>5.3</v>
      </c>
      <c r="B54">
        <f t="shared" si="0"/>
        <v>9.9831878138204339E-3</v>
      </c>
      <c r="C54">
        <f t="shared" si="1"/>
        <v>-8.2430620559240803E-2</v>
      </c>
    </row>
    <row r="55" spans="1:3" x14ac:dyDescent="0.25">
      <c r="A55">
        <v>5.4</v>
      </c>
      <c r="B55">
        <f t="shared" si="0"/>
        <v>9.0331618852253319E-3</v>
      </c>
      <c r="C55">
        <f t="shared" si="1"/>
        <v>-8.0786505445373163E-2</v>
      </c>
    </row>
    <row r="56" spans="1:3" x14ac:dyDescent="0.25">
      <c r="A56">
        <v>5.4999999999999902</v>
      </c>
      <c r="B56">
        <f t="shared" si="0"/>
        <v>8.173542876928213E-3</v>
      </c>
      <c r="C56">
        <f t="shared" si="1"/>
        <v>-7.9106692290527039E-2</v>
      </c>
    </row>
    <row r="57" spans="1:3" x14ac:dyDescent="0.25">
      <c r="A57">
        <v>5.5999999999999899</v>
      </c>
      <c r="B57">
        <f t="shared" si="0"/>
        <v>7.3957274329659369E-3</v>
      </c>
      <c r="C57">
        <f t="shared" si="1"/>
        <v>-7.7398573764006634E-2</v>
      </c>
    </row>
    <row r="58" spans="1:3" x14ac:dyDescent="0.25">
      <c r="A58">
        <v>5.6999999999999904</v>
      </c>
      <c r="B58">
        <f t="shared" si="0"/>
        <v>6.69193091494261E-3</v>
      </c>
      <c r="C58">
        <f t="shared" si="1"/>
        <v>-7.5668906355898541E-2</v>
      </c>
    </row>
    <row r="59" spans="1:3" x14ac:dyDescent="0.25">
      <c r="A59">
        <v>5.7999999999999901</v>
      </c>
      <c r="B59">
        <f t="shared" si="0"/>
        <v>6.0551094907516896E-3</v>
      </c>
      <c r="C59">
        <f t="shared" si="1"/>
        <v>-7.3923854846750056E-2</v>
      </c>
    </row>
    <row r="60" spans="1:3" x14ac:dyDescent="0.25">
      <c r="A60">
        <v>5.8999999999999897</v>
      </c>
      <c r="B60">
        <f t="shared" si="0"/>
        <v>5.4788896375367949E-3</v>
      </c>
      <c r="C60">
        <f t="shared" si="1"/>
        <v>-7.2169033952820719E-2</v>
      </c>
    </row>
    <row r="61" spans="1:3" x14ac:dyDescent="0.25">
      <c r="A61">
        <v>5.9999999999999902</v>
      </c>
      <c r="B61">
        <f t="shared" si="0"/>
        <v>4.9575043533327656E-3</v>
      </c>
      <c r="C61">
        <f t="shared" si="1"/>
        <v>-7.0409547316629878E-2</v>
      </c>
    </row>
    <row r="62" spans="1:3" x14ac:dyDescent="0.25">
      <c r="A62">
        <v>6.0999999999999899</v>
      </c>
      <c r="B62">
        <f t="shared" si="0"/>
        <v>4.4857354389716501E-3</v>
      </c>
      <c r="C62">
        <f t="shared" si="1"/>
        <v>-6.8650024002687479E-2</v>
      </c>
    </row>
    <row r="63" spans="1:3" x14ac:dyDescent="0.25">
      <c r="A63">
        <v>6.1999999999999904</v>
      </c>
      <c r="B63">
        <f t="shared" si="0"/>
        <v>4.0588612725915079E-3</v>
      </c>
      <c r="C63">
        <f t="shared" si="1"/>
        <v>-6.6894652649013106E-2</v>
      </c>
    </row>
    <row r="64" spans="1:3" x14ac:dyDescent="0.25">
      <c r="A64">
        <v>6.2999999999999901</v>
      </c>
      <c r="B64">
        <f t="shared" si="0"/>
        <v>3.6726095540578502E-3</v>
      </c>
      <c r="C64">
        <f t="shared" si="1"/>
        <v>-6.514721341629344E-2</v>
      </c>
    </row>
    <row r="65" spans="1:3" x14ac:dyDescent="0.25">
      <c r="A65">
        <v>6.3999999999999897</v>
      </c>
      <c r="B65">
        <f t="shared" si="0"/>
        <v>3.3231145463479034E-3</v>
      </c>
      <c r="C65">
        <f t="shared" si="1"/>
        <v>-6.341110786826662E-2</v>
      </c>
    </row>
    <row r="66" spans="1:3" x14ac:dyDescent="0.25">
      <c r="A66">
        <v>6.4999999999999902</v>
      </c>
      <c r="B66">
        <f t="shared" ref="B66:B129" si="2">S_1(1,A66)</f>
        <v>3.0068783859551742E-3</v>
      </c>
      <c r="C66">
        <f t="shared" ref="C66:C129" si="3">S_2(1,A66)</f>
        <v>-6.1689386909131304E-2</v>
      </c>
    </row>
    <row r="67" spans="1:3" x14ac:dyDescent="0.25">
      <c r="A67">
        <v>6.5999999999999899</v>
      </c>
      <c r="B67">
        <f t="shared" si="2"/>
        <v>2.7207360750958142E-3</v>
      </c>
      <c r="C67">
        <f t="shared" si="3"/>
        <v>-5.9984776896427644E-2</v>
      </c>
    </row>
    <row r="68" spans="1:3" x14ac:dyDescent="0.25">
      <c r="A68">
        <v>6.6999999999999904</v>
      </c>
      <c r="B68">
        <f t="shared" si="2"/>
        <v>2.4618238053469859E-3</v>
      </c>
      <c r="C68">
        <f t="shared" si="3"/>
        <v>-5.829970404090546E-2</v>
      </c>
    </row>
    <row r="69" spans="1:3" x14ac:dyDescent="0.25">
      <c r="A69">
        <v>6.7999999999999901</v>
      </c>
      <c r="B69">
        <f t="shared" si="2"/>
        <v>2.2275502956896282E-3</v>
      </c>
      <c r="C69">
        <f t="shared" si="3"/>
        <v>-5.6636317198358266E-2</v>
      </c>
    </row>
    <row r="70" spans="1:3" x14ac:dyDescent="0.25">
      <c r="A70">
        <v>6.8999999999999897</v>
      </c>
      <c r="B70">
        <f t="shared" si="2"/>
        <v>2.0155708580970422E-3</v>
      </c>
      <c r="C70">
        <f t="shared" si="3"/>
        <v>-5.4996509152234946E-2</v>
      </c>
    </row>
    <row r="71" spans="1:3" x14ac:dyDescent="0.25">
      <c r="A71">
        <v>6.9999999999999902</v>
      </c>
      <c r="B71">
        <f t="shared" si="2"/>
        <v>1.8237639311090503E-3</v>
      </c>
      <c r="C71">
        <f t="shared" si="3"/>
        <v>-5.3381936480029271E-2</v>
      </c>
    </row>
    <row r="72" spans="1:3" x14ac:dyDescent="0.25">
      <c r="A72">
        <v>7.0999999999999899</v>
      </c>
      <c r="B72">
        <f t="shared" si="2"/>
        <v>1.6502098465318252E-3</v>
      </c>
      <c r="C72">
        <f t="shared" si="3"/>
        <v>-5.1794038090964563E-2</v>
      </c>
    </row>
    <row r="73" spans="1:3" x14ac:dyDescent="0.25">
      <c r="A73">
        <v>7.1999999999999904</v>
      </c>
      <c r="B73">
        <f t="shared" si="2"/>
        <v>1.4931716167533732E-3</v>
      </c>
      <c r="C73">
        <f t="shared" si="3"/>
        <v>-5.0234052517323262E-2</v>
      </c>
    </row>
    <row r="74" spans="1:3" x14ac:dyDescent="0.25">
      <c r="A74">
        <v>7.2999999999999901</v>
      </c>
      <c r="B74">
        <f t="shared" si="2"/>
        <v>1.351077550387702E-3</v>
      </c>
      <c r="C74">
        <f t="shared" si="3"/>
        <v>-4.8703034036899594E-2</v>
      </c>
    </row>
    <row r="75" spans="1:3" x14ac:dyDescent="0.25">
      <c r="A75">
        <v>7.3999999999999897</v>
      </c>
      <c r="B75">
        <f t="shared" si="2"/>
        <v>1.2225055222591576E-3</v>
      </c>
      <c r="C75">
        <f t="shared" si="3"/>
        <v>-4.7201867699459804E-2</v>
      </c>
    </row>
    <row r="76" spans="1:3" x14ac:dyDescent="0.25">
      <c r="A76">
        <v>7.4999999999999902</v>
      </c>
      <c r="B76">
        <f t="shared" si="2"/>
        <v>1.1061687402956779E-3</v>
      </c>
      <c r="C76">
        <f t="shared" si="3"/>
        <v>-4.5731283325766273E-2</v>
      </c>
    </row>
    <row r="77" spans="1:3" x14ac:dyDescent="0.25">
      <c r="A77">
        <v>7.5999999999999899</v>
      </c>
      <c r="B77">
        <f t="shared" si="2"/>
        <v>1.0009028668812314E-3</v>
      </c>
      <c r="C77">
        <f t="shared" si="3"/>
        <v>-4.4291868543641359E-2</v>
      </c>
    </row>
    <row r="78" spans="1:3" x14ac:dyDescent="0.25">
      <c r="A78">
        <v>7.6999999999999904</v>
      </c>
      <c r="B78">
        <f t="shared" si="2"/>
        <v>9.056543657736028E-4</v>
      </c>
      <c r="C78">
        <f t="shared" si="3"/>
        <v>-4.28840809217012E-2</v>
      </c>
    </row>
    <row r="79" spans="1:3" x14ac:dyDescent="0.25">
      <c r="A79">
        <v>7.7999999999999901</v>
      </c>
      <c r="B79">
        <f t="shared" si="2"/>
        <v>8.1946995795958153E-4</v>
      </c>
      <c r="C79">
        <f t="shared" si="3"/>
        <v>-4.1508259257767181E-2</v>
      </c>
    </row>
    <row r="80" spans="1:3" x14ac:dyDescent="0.25">
      <c r="A80">
        <v>7.8999999999999897</v>
      </c>
      <c r="B80">
        <f t="shared" si="2"/>
        <v>7.4148708091818435E-4</v>
      </c>
      <c r="C80">
        <f t="shared" si="3"/>
        <v>-4.0164634075547351E-2</v>
      </c>
    </row>
    <row r="81" spans="1:3" x14ac:dyDescent="0.25">
      <c r="A81">
        <v>7.9999999999999902</v>
      </c>
      <c r="B81">
        <f t="shared" si="2"/>
        <v>6.7092525580503021E-4</v>
      </c>
      <c r="C81">
        <f t="shared" si="3"/>
        <v>-3.8853337379964069E-2</v>
      </c>
    </row>
    <row r="82" spans="1:3" x14ac:dyDescent="0.25">
      <c r="A82">
        <v>8.0999999999999908</v>
      </c>
      <c r="B82">
        <f t="shared" si="2"/>
        <v>6.0707827615773897E-4</v>
      </c>
      <c r="C82">
        <f t="shared" si="3"/>
        <v>-3.757441171847322E-2</v>
      </c>
    </row>
    <row r="83" spans="1:3" x14ac:dyDescent="0.25">
      <c r="A83">
        <v>8.1999999999999904</v>
      </c>
      <c r="B83">
        <f t="shared" si="2"/>
        <v>5.4930713994428995E-4</v>
      </c>
      <c r="C83">
        <f t="shared" si="3"/>
        <v>-3.6327818592865616E-2</v>
      </c>
    </row>
    <row r="84" spans="1:3" x14ac:dyDescent="0.25">
      <c r="A84">
        <v>8.2999999999999794</v>
      </c>
      <c r="B84">
        <f t="shared" si="2"/>
        <v>4.9703365421591432E-4</v>
      </c>
      <c r="C84">
        <f t="shared" si="3"/>
        <v>-3.5113446263352513E-2</v>
      </c>
    </row>
    <row r="85" spans="1:3" x14ac:dyDescent="0.25">
      <c r="A85">
        <v>8.3999999999999808</v>
      </c>
      <c r="B85">
        <f t="shared" si="2"/>
        <v>4.4973464835770517E-4</v>
      </c>
      <c r="C85">
        <f t="shared" si="3"/>
        <v>-3.3931116984203723E-2</v>
      </c>
    </row>
    <row r="86" spans="1:3" x14ac:dyDescent="0.25">
      <c r="A86">
        <v>8.4999999999999805</v>
      </c>
      <c r="B86">
        <f t="shared" si="2"/>
        <v>4.0693673802129631E-4</v>
      </c>
      <c r="C86">
        <f t="shared" si="3"/>
        <v>-3.2780593707824747E-2</v>
      </c>
    </row>
    <row r="87" spans="1:3" x14ac:dyDescent="0.25">
      <c r="A87">
        <v>8.5999999999999801</v>
      </c>
      <c r="B87">
        <f t="shared" si="2"/>
        <v>3.682115873351656E-4</v>
      </c>
      <c r="C87">
        <f t="shared" si="3"/>
        <v>-3.1661586291908725E-2</v>
      </c>
    </row>
    <row r="88" spans="1:3" x14ac:dyDescent="0.25">
      <c r="A88">
        <v>8.6999999999999797</v>
      </c>
      <c r="B88">
        <f t="shared" si="2"/>
        <v>3.3317162197527358E-4</v>
      </c>
      <c r="C88">
        <f t="shared" si="3"/>
        <v>-3.0573757242190098E-2</v>
      </c>
    </row>
    <row r="89" spans="1:3" x14ac:dyDescent="0.25">
      <c r="A89">
        <v>8.7999999999999794</v>
      </c>
      <c r="B89">
        <f t="shared" si="2"/>
        <v>3.014661501909594E-4</v>
      </c>
      <c r="C89">
        <f t="shared" si="3"/>
        <v>-2.9516727021332626E-2</v>
      </c>
    </row>
    <row r="90" spans="1:3" x14ac:dyDescent="0.25">
      <c r="A90">
        <v>8.8999999999999808</v>
      </c>
      <c r="B90">
        <f t="shared" si="2"/>
        <v>2.7277785296402811E-4</v>
      </c>
      <c r="C90">
        <f t="shared" si="3"/>
        <v>-2.849007895261229E-2</v>
      </c>
    </row>
    <row r="91" spans="1:3" x14ac:dyDescent="0.25">
      <c r="A91">
        <v>8.9999999999999805</v>
      </c>
      <c r="B91">
        <f t="shared" si="2"/>
        <v>2.4681960817336395E-4</v>
      </c>
      <c r="C91">
        <f t="shared" si="3"/>
        <v>-2.7493363745291752E-2</v>
      </c>
    </row>
    <row r="92" spans="1:3" x14ac:dyDescent="0.25">
      <c r="A92">
        <v>9.0999999999999801</v>
      </c>
      <c r="B92">
        <f t="shared" si="2"/>
        <v>2.2333161698023392E-4</v>
      </c>
      <c r="C92">
        <f t="shared" si="3"/>
        <v>-2.6526103666922998E-2</v>
      </c>
    </row>
    <row r="93" spans="1:3" x14ac:dyDescent="0.25">
      <c r="A93">
        <v>9.1999999999999797</v>
      </c>
      <c r="B93">
        <f t="shared" si="2"/>
        <v>2.0207880367419079E-4</v>
      </c>
      <c r="C93">
        <f t="shared" si="3"/>
        <v>-2.5587796386253636E-2</v>
      </c>
    </row>
    <row r="94" spans="1:3" x14ac:dyDescent="0.25">
      <c r="A94">
        <v>9.2999999999999794</v>
      </c>
      <c r="B94">
        <f t="shared" si="2"/>
        <v>1.8284846295635044E-4</v>
      </c>
      <c r="C94">
        <f t="shared" si="3"/>
        <v>-2.4677918508942187E-2</v>
      </c>
    </row>
    <row r="95" spans="1:3" x14ac:dyDescent="0.25">
      <c r="A95">
        <v>9.3999999999999808</v>
      </c>
      <c r="B95">
        <f t="shared" si="2"/>
        <v>1.6544813111326771E-4</v>
      </c>
      <c r="C95">
        <f t="shared" si="3"/>
        <v>-2.3795928826905576E-2</v>
      </c>
    </row>
    <row r="96" spans="1:3" x14ac:dyDescent="0.25">
      <c r="A96">
        <v>9.4999999999999805</v>
      </c>
      <c r="B96">
        <f t="shared" si="2"/>
        <v>1.497036597754041E-4</v>
      </c>
      <c r="C96">
        <f t="shared" si="3"/>
        <v>-2.2941271300821638E-2</v>
      </c>
    </row>
    <row r="97" spans="1:3" x14ac:dyDescent="0.25">
      <c r="A97">
        <v>9.5999999999999801</v>
      </c>
      <c r="B97">
        <f t="shared" si="2"/>
        <v>1.3545747298171045E-4</v>
      </c>
      <c r="C97">
        <f t="shared" si="3"/>
        <v>-2.2113377794085919E-2</v>
      </c>
    </row>
    <row r="98" spans="1:3" x14ac:dyDescent="0.25">
      <c r="A98">
        <v>9.6999999999999797</v>
      </c>
      <c r="B98">
        <f t="shared" si="2"/>
        <v>1.2256699010644668E-4</v>
      </c>
      <c r="C98">
        <f t="shared" si="3"/>
        <v>-2.1311670575372525E-2</v>
      </c>
    </row>
    <row r="99" spans="1:3" x14ac:dyDescent="0.25">
      <c r="A99">
        <v>9.7999999999999794</v>
      </c>
      <c r="B99">
        <f t="shared" si="2"/>
        <v>1.1090319886435625E-4</v>
      </c>
      <c r="C99">
        <f t="shared" si="3"/>
        <v>-2.0535564605866391E-2</v>
      </c>
    </row>
    <row r="100" spans="1:3" x14ac:dyDescent="0.25">
      <c r="A100">
        <v>9.8999999999999808</v>
      </c>
      <c r="B100">
        <f t="shared" si="2"/>
        <v>1.0034936411235253E-4</v>
      </c>
      <c r="C100">
        <f t="shared" si="3"/>
        <v>-1.9784469626218017E-2</v>
      </c>
    </row>
    <row r="101" spans="1:3" x14ac:dyDescent="0.25">
      <c r="A101">
        <v>9.9999999999999805</v>
      </c>
      <c r="B101">
        <f t="shared" si="2"/>
        <v>9.0799859524971484E-5</v>
      </c>
      <c r="C101">
        <f t="shared" si="3"/>
        <v>-1.9057792057315667E-2</v>
      </c>
    </row>
    <row r="102" spans="1:3" x14ac:dyDescent="0.25">
      <c r="A102">
        <v>10.1</v>
      </c>
      <c r="B102">
        <f t="shared" si="2"/>
        <v>8.2159110450601448E-5</v>
      </c>
      <c r="C102">
        <f t="shared" si="3"/>
        <v>-1.8354936728071213E-2</v>
      </c>
    </row>
    <row r="103" spans="1:3" x14ac:dyDescent="0.25">
      <c r="A103">
        <v>10.199999999999999</v>
      </c>
      <c r="B103">
        <f t="shared" si="2"/>
        <v>7.4340637368253468E-5</v>
      </c>
      <c r="C103">
        <f t="shared" si="3"/>
        <v>-1.7675308442572795E-2</v>
      </c>
    </row>
    <row r="104" spans="1:3" x14ac:dyDescent="0.25">
      <c r="A104">
        <v>10.3</v>
      </c>
      <c r="B104">
        <f t="shared" si="2"/>
        <v>6.7266190371437936E-5</v>
      </c>
      <c r="C104">
        <f t="shared" si="3"/>
        <v>-1.7018313398160893E-2</v>
      </c>
    </row>
    <row r="105" spans="1:3" x14ac:dyDescent="0.25">
      <c r="A105">
        <v>10.4</v>
      </c>
      <c r="B105">
        <f t="shared" si="2"/>
        <v>6.0864966016807249E-5</v>
      </c>
      <c r="C105">
        <f t="shared" si="3"/>
        <v>-1.6383360465243999E-2</v>
      </c>
    </row>
    <row r="106" spans="1:3" x14ac:dyDescent="0.25">
      <c r="A106">
        <v>10.5</v>
      </c>
      <c r="B106">
        <f t="shared" si="2"/>
        <v>5.5072898699494316E-5</v>
      </c>
      <c r="C106">
        <f t="shared" si="3"/>
        <v>-1.5769862338964918E-2</v>
      </c>
    </row>
    <row r="107" spans="1:3" x14ac:dyDescent="0.25">
      <c r="A107">
        <v>10.6</v>
      </c>
      <c r="B107">
        <f t="shared" si="2"/>
        <v>4.9832019463006409E-5</v>
      </c>
      <c r="C107">
        <f t="shared" si="3"/>
        <v>-1.5177236572174367E-2</v>
      </c>
    </row>
    <row r="108" spans="1:3" x14ac:dyDescent="0.25">
      <c r="A108">
        <v>10.7</v>
      </c>
      <c r="B108">
        <f t="shared" si="2"/>
        <v>4.5089875826424421E-5</v>
      </c>
      <c r="C108">
        <f t="shared" si="3"/>
        <v>-1.4604906498549694E-2</v>
      </c>
    </row>
    <row r="109" spans="1:3" x14ac:dyDescent="0.25">
      <c r="A109">
        <v>10.8</v>
      </c>
      <c r="B109">
        <f t="shared" si="2"/>
        <v>4.0799006822343844E-5</v>
      </c>
      <c r="C109">
        <f t="shared" si="3"/>
        <v>-1.405230205411712E-2</v>
      </c>
    </row>
    <row r="110" spans="1:3" x14ac:dyDescent="0.25">
      <c r="A110">
        <v>10.9</v>
      </c>
      <c r="B110">
        <f t="shared" si="2"/>
        <v>3.6916467991561116E-5</v>
      </c>
      <c r="C110">
        <f t="shared" si="3"/>
        <v>-1.3518860504891761E-2</v>
      </c>
    </row>
    <row r="111" spans="1:3" x14ac:dyDescent="0.25">
      <c r="A111">
        <v>11</v>
      </c>
      <c r="B111">
        <f t="shared" si="2"/>
        <v>3.3403401580491319E-5</v>
      </c>
      <c r="C111">
        <f t="shared" si="3"/>
        <v>-1.3004027087838495E-2</v>
      </c>
    </row>
    <row r="112" spans="1:3" x14ac:dyDescent="0.25">
      <c r="A112">
        <v>11.1</v>
      </c>
      <c r="B112">
        <f t="shared" si="2"/>
        <v>3.0224647639710067E-5</v>
      </c>
      <c r="C112">
        <f t="shared" si="3"/>
        <v>-1.2507255571878047E-2</v>
      </c>
    </row>
    <row r="113" spans="1:3" x14ac:dyDescent="0.25">
      <c r="A113">
        <v>11.2</v>
      </c>
      <c r="B113">
        <f t="shared" si="2"/>
        <v>2.7348392131361927E-5</v>
      </c>
      <c r="C113">
        <f t="shared" si="3"/>
        <v>-1.2028008745212341E-2</v>
      </c>
    </row>
    <row r="114" spans="1:3" x14ac:dyDescent="0.25">
      <c r="A114">
        <v>11.3</v>
      </c>
      <c r="B114">
        <f t="shared" si="2"/>
        <v>2.4745848523576443E-5</v>
      </c>
      <c r="C114">
        <f t="shared" si="3"/>
        <v>-1.1565758834821775E-2</v>
      </c>
    </row>
    <row r="115" spans="1:3" x14ac:dyDescent="0.25">
      <c r="A115">
        <v>11.4</v>
      </c>
      <c r="B115">
        <f t="shared" si="2"/>
        <v>2.239096968518188E-5</v>
      </c>
      <c r="C115">
        <f t="shared" si="3"/>
        <v>-1.1119987863591262E-2</v>
      </c>
    </row>
    <row r="116" spans="1:3" x14ac:dyDescent="0.25">
      <c r="A116">
        <v>11.5</v>
      </c>
      <c r="B116">
        <f t="shared" si="2"/>
        <v>2.0260187197261421E-5</v>
      </c>
      <c r="C116">
        <f t="shared" si="3"/>
        <v>-1.0690187950150956E-2</v>
      </c>
    </row>
    <row r="117" spans="1:3" x14ac:dyDescent="0.25">
      <c r="A117">
        <v>11.6</v>
      </c>
      <c r="B117">
        <f t="shared" si="2"/>
        <v>1.8332175472495234E-5</v>
      </c>
      <c r="C117">
        <f t="shared" si="3"/>
        <v>-1.0275861556170001E-2</v>
      </c>
    </row>
    <row r="118" spans="1:3" x14ac:dyDescent="0.25">
      <c r="A118">
        <v>11.7</v>
      </c>
      <c r="B118">
        <f t="shared" si="2"/>
        <v>1.6587638321514741E-5</v>
      </c>
      <c r="C118">
        <f t="shared" si="3"/>
        <v>-9.8765216855154839E-3</v>
      </c>
    </row>
    <row r="119" spans="1:3" x14ac:dyDescent="0.25">
      <c r="A119">
        <v>11.8</v>
      </c>
      <c r="B119">
        <f t="shared" si="2"/>
        <v>1.5009115830153716E-5</v>
      </c>
      <c r="C119">
        <f t="shared" si="3"/>
        <v>-9.4916920393835844E-3</v>
      </c>
    </row>
    <row r="120" spans="1:3" x14ac:dyDescent="0.25">
      <c r="A120">
        <v>11.9</v>
      </c>
      <c r="B120">
        <f t="shared" si="2"/>
        <v>1.3580809614758941E-5</v>
      </c>
      <c r="C120">
        <f t="shared" si="3"/>
        <v>-9.1209071312237221E-3</v>
      </c>
    </row>
    <row r="121" spans="1:3" x14ac:dyDescent="0.25">
      <c r="A121">
        <v>12</v>
      </c>
      <c r="B121">
        <f t="shared" si="2"/>
        <v>1.228842470665642E-5</v>
      </c>
      <c r="C121">
        <f t="shared" si="3"/>
        <v>-8.7637123650084869E-3</v>
      </c>
    </row>
    <row r="122" spans="1:3" x14ac:dyDescent="0.25">
      <c r="A122">
        <v>12.1</v>
      </c>
      <c r="B122">
        <f t="shared" si="2"/>
        <v>1.1119026483300292E-5</v>
      </c>
      <c r="C122">
        <f t="shared" si="3"/>
        <v>-8.4196640801513841E-3</v>
      </c>
    </row>
    <row r="123" spans="1:3" x14ac:dyDescent="0.25">
      <c r="A123">
        <v>12.2</v>
      </c>
      <c r="B123">
        <f t="shared" si="2"/>
        <v>1.0060911214222897E-5</v>
      </c>
      <c r="C123">
        <f t="shared" si="3"/>
        <v>-8.0883295661393767E-3</v>
      </c>
    </row>
    <row r="124" spans="1:3" x14ac:dyDescent="0.25">
      <c r="A124">
        <v>12.3</v>
      </c>
      <c r="B124">
        <f t="shared" si="2"/>
        <v>9.1034889261664623E-6</v>
      </c>
      <c r="C124">
        <f t="shared" si="3"/>
        <v>-7.7692870497274406E-3</v>
      </c>
    </row>
    <row r="125" spans="1:3" x14ac:dyDescent="0.25">
      <c r="A125">
        <v>12.4</v>
      </c>
      <c r="B125">
        <f t="shared" si="2"/>
        <v>8.2371774150714163E-6</v>
      </c>
      <c r="C125">
        <f t="shared" si="3"/>
        <v>-7.4621256573367068E-3</v>
      </c>
    </row>
    <row r="126" spans="1:3" x14ac:dyDescent="0.25">
      <c r="A126">
        <v>12.5</v>
      </c>
      <c r="B126">
        <f t="shared" si="2"/>
        <v>7.4533063441573419E-6</v>
      </c>
      <c r="C126">
        <f t="shared" si="3"/>
        <v>-7.1664453551052209E-3</v>
      </c>
    </row>
    <row r="127" spans="1:3" x14ac:dyDescent="0.25">
      <c r="A127">
        <v>12.6</v>
      </c>
      <c r="B127">
        <f t="shared" si="2"/>
        <v>6.744030468278369E-6</v>
      </c>
      <c r="C127">
        <f t="shared" si="3"/>
        <v>-6.8818568688606748E-3</v>
      </c>
    </row>
    <row r="128" spans="1:3" x14ac:dyDescent="0.25">
      <c r="A128">
        <v>12.7</v>
      </c>
      <c r="B128">
        <f t="shared" si="2"/>
        <v>6.102251116072845E-6</v>
      </c>
      <c r="C128">
        <f t="shared" si="3"/>
        <v>-6.6079815861160478E-3</v>
      </c>
    </row>
    <row r="129" spans="1:3" x14ac:dyDescent="0.25">
      <c r="A129">
        <v>12.8</v>
      </c>
      <c r="B129">
        <f t="shared" si="2"/>
        <v>5.5215451440743973E-6</v>
      </c>
      <c r="C129">
        <f t="shared" si="3"/>
        <v>-6.3444514420320352E-3</v>
      </c>
    </row>
    <row r="130" spans="1:3" x14ac:dyDescent="0.25">
      <c r="A130">
        <v>12.9</v>
      </c>
      <c r="B130">
        <f t="shared" ref="B130:B193" si="4">S_1(1,A130)</f>
        <v>4.9961006517332699E-6</v>
      </c>
      <c r="C130">
        <f t="shared" ref="C130:C193" si="5">S_2(1,A130)</f>
        <v>-6.0909087911433114E-3</v>
      </c>
    </row>
    <row r="131" spans="1:3" x14ac:dyDescent="0.25">
      <c r="A131">
        <v>13</v>
      </c>
      <c r="B131">
        <f t="shared" si="4"/>
        <v>4.5206588139621085E-6</v>
      </c>
      <c r="C131">
        <f t="shared" si="5"/>
        <v>-5.8470062665083953E-3</v>
      </c>
    </row>
    <row r="132" spans="1:3" x14ac:dyDescent="0.25">
      <c r="A132">
        <v>13.1</v>
      </c>
      <c r="B132">
        <f t="shared" si="4"/>
        <v>4.0904612490469794E-6</v>
      </c>
      <c r="C132">
        <f t="shared" si="5"/>
        <v>-5.612406627815059E-3</v>
      </c>
    </row>
    <row r="133" spans="1:3" x14ac:dyDescent="0.25">
      <c r="A133">
        <v>13.2</v>
      </c>
      <c r="B133">
        <f t="shared" si="4"/>
        <v>3.7012023951638163E-6</v>
      </c>
      <c r="C133">
        <f t="shared" si="5"/>
        <v>-5.3867825998534895E-3</v>
      </c>
    </row>
    <row r="134" spans="1:3" x14ac:dyDescent="0.25">
      <c r="A134">
        <v>13.3</v>
      </c>
      <c r="B134">
        <f t="shared" si="4"/>
        <v>3.348986418868532E-6</v>
      </c>
      <c r="C134">
        <f t="shared" si="5"/>
        <v>-5.1698167026581017E-3</v>
      </c>
    </row>
    <row r="135" spans="1:3" x14ac:dyDescent="0.25">
      <c r="A135">
        <v>13.4</v>
      </c>
      <c r="B135">
        <f t="shared" si="4"/>
        <v>3.030288224286498E-6</v>
      </c>
      <c r="C135">
        <f t="shared" si="5"/>
        <v>-4.9612010745148276E-3</v>
      </c>
    </row>
    <row r="136" spans="1:3" x14ac:dyDescent="0.25">
      <c r="A136">
        <v>13.5</v>
      </c>
      <c r="B136">
        <f t="shared" si="4"/>
        <v>2.7419181727681689E-6</v>
      </c>
      <c r="C136">
        <f t="shared" si="5"/>
        <v>-4.7606372889337934E-3</v>
      </c>
    </row>
    <row r="137" spans="1:3" x14ac:dyDescent="0.25">
      <c r="A137">
        <v>13.6</v>
      </c>
      <c r="B137">
        <f t="shared" si="4"/>
        <v>2.4809901599134268E-6</v>
      </c>
      <c r="C137">
        <f t="shared" si="5"/>
        <v>-4.567836166597037E-3</v>
      </c>
    </row>
    <row r="138" spans="1:3" x14ac:dyDescent="0.25">
      <c r="A138">
        <v>13.7</v>
      </c>
      <c r="B138">
        <f t="shared" si="4"/>
        <v>2.2448927304686883E-6</v>
      </c>
      <c r="C138">
        <f t="shared" si="5"/>
        <v>-4.3825175832067319E-3</v>
      </c>
    </row>
    <row r="139" spans="1:3" x14ac:dyDescent="0.25">
      <c r="A139">
        <v>13.8</v>
      </c>
      <c r="B139">
        <f t="shared" si="4"/>
        <v>2.0312629420049805E-6</v>
      </c>
      <c r="C139">
        <f t="shared" si="5"/>
        <v>-4.2044102740810569E-3</v>
      </c>
    </row>
    <row r="140" spans="1:3" x14ac:dyDescent="0.25">
      <c r="A140">
        <v>13.9</v>
      </c>
      <c r="B140">
        <f t="shared" si="4"/>
        <v>1.8379627157959143E-6</v>
      </c>
      <c r="C140">
        <f t="shared" si="5"/>
        <v>-4.0332516362720557E-3</v>
      </c>
    </row>
    <row r="141" spans="1:3" x14ac:dyDescent="0.25">
      <c r="A141">
        <v>14</v>
      </c>
      <c r="B141">
        <f t="shared" si="4"/>
        <v>1.6630574382071358E-6</v>
      </c>
      <c r="C141">
        <f t="shared" si="5"/>
        <v>-3.8687875289118976E-3</v>
      </c>
    </row>
    <row r="142" spans="1:3" x14ac:dyDescent="0.25">
      <c r="A142">
        <v>14.1</v>
      </c>
      <c r="B142">
        <f t="shared" si="4"/>
        <v>1.5047965984328426E-6</v>
      </c>
      <c r="C142">
        <f t="shared" si="5"/>
        <v>-3.7107720724310908E-3</v>
      </c>
    </row>
    <row r="143" spans="1:3" x14ac:dyDescent="0.25">
      <c r="A143">
        <v>14.2</v>
      </c>
      <c r="B143">
        <f t="shared" si="4"/>
        <v>1.3615962687952685E-6</v>
      </c>
      <c r="C143">
        <f t="shared" si="5"/>
        <v>-3.5589674472335355E-3</v>
      </c>
    </row>
    <row r="144" spans="1:3" x14ac:dyDescent="0.25">
      <c r="A144">
        <v>14.3</v>
      </c>
      <c r="B144">
        <f t="shared" si="4"/>
        <v>1.2320232522641054E-6</v>
      </c>
      <c r="C144">
        <f t="shared" si="5"/>
        <v>-3.413143692358964E-3</v>
      </c>
    </row>
    <row r="145" spans="1:3" x14ac:dyDescent="0.25">
      <c r="A145">
        <v>14.4</v>
      </c>
      <c r="B145">
        <f t="shared" si="4"/>
        <v>1.1147807385389191E-6</v>
      </c>
      <c r="C145">
        <f t="shared" si="5"/>
        <v>-3.2730785046128992E-3</v>
      </c>
    </row>
    <row r="146" spans="1:3" x14ac:dyDescent="0.25">
      <c r="A146">
        <v>14.5</v>
      </c>
      <c r="B146">
        <f t="shared" si="4"/>
        <v>1.0086953251357761E-6</v>
      </c>
      <c r="C146">
        <f t="shared" si="5"/>
        <v>-3.1385570385973655E-3</v>
      </c>
    </row>
    <row r="147" spans="1:3" x14ac:dyDescent="0.25">
      <c r="A147">
        <v>14.6</v>
      </c>
      <c r="B147">
        <f t="shared" si="4"/>
        <v>9.1270527358079877E-7</v>
      </c>
      <c r="C147">
        <f t="shared" si="5"/>
        <v>-3.0093717080323388E-3</v>
      </c>
    </row>
    <row r="148" spans="1:3" x14ac:dyDescent="0.25">
      <c r="A148">
        <v>14.7</v>
      </c>
      <c r="B148">
        <f t="shared" si="4"/>
        <v>8.2584988317465438E-7</v>
      </c>
      <c r="C148">
        <f t="shared" si="5"/>
        <v>-2.885321988717637E-3</v>
      </c>
    </row>
    <row r="149" spans="1:3" x14ac:dyDescent="0.25">
      <c r="A149">
        <v>14.8</v>
      </c>
      <c r="B149">
        <f t="shared" si="4"/>
        <v>7.4725987597705203E-7</v>
      </c>
      <c r="C149">
        <f t="shared" si="5"/>
        <v>-2.7662142234478179E-3</v>
      </c>
    </row>
    <row r="150" spans="1:3" x14ac:dyDescent="0.25">
      <c r="A150">
        <v>14.9</v>
      </c>
      <c r="B150">
        <f t="shared" si="4"/>
        <v>6.7614869678094734E-7</v>
      </c>
      <c r="C150">
        <f t="shared" si="5"/>
        <v>-2.6518614291582698E-3</v>
      </c>
    </row>
    <row r="151" spans="1:3" x14ac:dyDescent="0.25">
      <c r="A151">
        <v>15</v>
      </c>
      <c r="B151">
        <f t="shared" si="4"/>
        <v>6.1180464100365157E-7</v>
      </c>
      <c r="C151">
        <f t="shared" si="5"/>
        <v>-2.542083106548854E-3</v>
      </c>
    </row>
    <row r="152" spans="1:3" x14ac:dyDescent="0.25">
      <c r="A152">
        <v>15.1</v>
      </c>
      <c r="B152">
        <f t="shared" si="4"/>
        <v>5.5358373170816141E-7</v>
      </c>
      <c r="C152">
        <f t="shared" si="5"/>
        <v>-2.4367050524021884E-3</v>
      </c>
    </row>
    <row r="153" spans="1:3" x14ac:dyDescent="0.25">
      <c r="A153">
        <v>15.2</v>
      </c>
      <c r="B153">
        <f t="shared" si="4"/>
        <v>5.0090327446552439E-7</v>
      </c>
      <c r="C153">
        <f t="shared" si="5"/>
        <v>-2.3355591747865347E-3</v>
      </c>
    </row>
    <row r="154" spans="1:3" x14ac:dyDescent="0.25">
      <c r="A154">
        <v>15.3</v>
      </c>
      <c r="B154">
        <f t="shared" si="4"/>
        <v>4.5323602555314198E-7</v>
      </c>
      <c r="C154">
        <f t="shared" si="5"/>
        <v>-2.2384833113083414E-3</v>
      </c>
    </row>
    <row r="155" spans="1:3" x14ac:dyDescent="0.25">
      <c r="A155">
        <v>15.4</v>
      </c>
      <c r="B155">
        <f t="shared" si="4"/>
        <v>4.1010491512238534E-7</v>
      </c>
      <c r="C155">
        <f t="shared" si="5"/>
        <v>-2.145321050556529E-3</v>
      </c>
    </row>
    <row r="156" spans="1:3" x14ac:dyDescent="0.25">
      <c r="A156">
        <v>15.5</v>
      </c>
      <c r="B156">
        <f t="shared" si="4"/>
        <v>3.7107827252319567E-7</v>
      </c>
      <c r="C156">
        <f t="shared" si="5"/>
        <v>-2.0559215568594844E-3</v>
      </c>
    </row>
    <row r="157" spans="1:3" x14ac:dyDescent="0.25">
      <c r="A157">
        <v>15.6</v>
      </c>
      <c r="B157">
        <f t="shared" si="4"/>
        <v>3.3576550599913264E-7</v>
      </c>
      <c r="C157">
        <f t="shared" si="5"/>
        <v>-1.9701393984563565E-3</v>
      </c>
    </row>
    <row r="158" spans="1:3" x14ac:dyDescent="0.25">
      <c r="A158">
        <v>15.7</v>
      </c>
      <c r="B158">
        <f t="shared" si="4"/>
        <v>3.0381319351379278E-7</v>
      </c>
      <c r="C158">
        <f t="shared" si="5"/>
        <v>-1.8878343791664395E-3</v>
      </c>
    </row>
    <row r="159" spans="1:3" x14ac:dyDescent="0.25">
      <c r="A159">
        <v>15.8</v>
      </c>
      <c r="B159">
        <f t="shared" si="4"/>
        <v>2.749015455842792E-7</v>
      </c>
      <c r="C159">
        <f t="shared" si="5"/>
        <v>-1.80887137362414E-3</v>
      </c>
    </row>
    <row r="160" spans="1:3" x14ac:dyDescent="0.25">
      <c r="A160">
        <v>15.9</v>
      </c>
      <c r="B160">
        <f t="shared" si="4"/>
        <v>2.4874120472057391E-7</v>
      </c>
      <c r="C160">
        <f t="shared" si="5"/>
        <v>-1.7331201661321353E-3</v>
      </c>
    </row>
    <row r="161" spans="1:3" x14ac:dyDescent="0.25">
      <c r="A161">
        <v>16</v>
      </c>
      <c r="B161">
        <f t="shared" si="4"/>
        <v>2.2507034943851823E-7</v>
      </c>
      <c r="C161">
        <f t="shared" si="5"/>
        <v>-1.6604552931716796E-3</v>
      </c>
    </row>
    <row r="162" spans="1:3" x14ac:dyDescent="0.25">
      <c r="A162">
        <v>16.100000000000001</v>
      </c>
      <c r="B162">
        <f t="shared" si="4"/>
        <v>2.0365207386239972E-7</v>
      </c>
      <c r="C162">
        <f t="shared" si="5"/>
        <v>-1.5907558895966664E-3</v>
      </c>
    </row>
    <row r="163" spans="1:3" x14ac:dyDescent="0.25">
      <c r="A163">
        <v>16.2</v>
      </c>
      <c r="B163">
        <f t="shared" si="4"/>
        <v>1.842720166913227E-7</v>
      </c>
      <c r="C163">
        <f t="shared" si="5"/>
        <v>-1.523905538526714E-3</v>
      </c>
    </row>
    <row r="164" spans="1:3" x14ac:dyDescent="0.25">
      <c r="A164">
        <v>16.3</v>
      </c>
      <c r="B164">
        <f t="shared" si="4"/>
        <v>1.6673621579925542E-7</v>
      </c>
      <c r="C164">
        <f t="shared" si="5"/>
        <v>-1.4597921249442881E-3</v>
      </c>
    </row>
    <row r="165" spans="1:3" x14ac:dyDescent="0.25">
      <c r="A165">
        <v>16.399999999999999</v>
      </c>
      <c r="B165">
        <f t="shared" si="4"/>
        <v>1.5086916699688516E-7</v>
      </c>
      <c r="C165">
        <f t="shared" si="5"/>
        <v>-1.3983076929916505E-3</v>
      </c>
    </row>
    <row r="166" spans="1:3" x14ac:dyDescent="0.25">
      <c r="A166">
        <v>16.5</v>
      </c>
      <c r="B166">
        <f t="shared" si="4"/>
        <v>1.365120675266974E-7</v>
      </c>
      <c r="C166">
        <f t="shared" si="5"/>
        <v>-1.3393483069549191E-3</v>
      </c>
    </row>
    <row r="167" spans="1:3" x14ac:dyDescent="0.25">
      <c r="A167">
        <v>16.600000000000001</v>
      </c>
      <c r="B167">
        <f t="shared" si="4"/>
        <v>1.2352122671160727E-7</v>
      </c>
      <c r="C167">
        <f t="shared" si="5"/>
        <v>-1.2828139159150823E-3</v>
      </c>
    </row>
    <row r="168" spans="1:3" x14ac:dyDescent="0.25">
      <c r="A168">
        <v>16.7</v>
      </c>
      <c r="B168">
        <f t="shared" si="4"/>
        <v>1.1176662785036535E-7</v>
      </c>
      <c r="C168">
        <f t="shared" si="5"/>
        <v>-1.2286082220389015E-3</v>
      </c>
    </row>
    <row r="169" spans="1:3" x14ac:dyDescent="0.25">
      <c r="A169">
        <v>16.8</v>
      </c>
      <c r="B169">
        <f t="shared" si="4"/>
        <v>1.0113062696671041E-7</v>
      </c>
      <c r="C169">
        <f t="shared" si="5"/>
        <v>-1.1766385524766157E-3</v>
      </c>
    </row>
    <row r="170" spans="1:3" x14ac:dyDescent="0.25">
      <c r="A170">
        <v>16.899999999999999</v>
      </c>
      <c r="B170">
        <f t="shared" si="4"/>
        <v>9.1506775388916228E-8</v>
      </c>
      <c r="C170">
        <f t="shared" si="5"/>
        <v>-1.1268157348279402E-3</v>
      </c>
    </row>
    <row r="171" spans="1:3" x14ac:dyDescent="0.25">
      <c r="A171">
        <v>17</v>
      </c>
      <c r="B171">
        <f t="shared" si="4"/>
        <v>8.2798754375703337E-8</v>
      </c>
      <c r="C171">
        <f t="shared" si="5"/>
        <v>-1.0790539761329496E-3</v>
      </c>
    </row>
    <row r="172" spans="1:3" x14ac:dyDescent="0.25">
      <c r="A172">
        <v>17.100000000000001</v>
      </c>
      <c r="B172">
        <f t="shared" si="4"/>
        <v>7.4919411125904902E-8</v>
      </c>
      <c r="C172">
        <f t="shared" si="5"/>
        <v>-1.0332707453402999E-3</v>
      </c>
    </row>
    <row r="173" spans="1:3" x14ac:dyDescent="0.25">
      <c r="A173">
        <v>17.2</v>
      </c>
      <c r="B173">
        <f t="shared" si="4"/>
        <v>6.7789886523938487E-8</v>
      </c>
      <c r="C173">
        <f t="shared" si="5"/>
        <v>-9.8938665920138215E-4</v>
      </c>
    </row>
    <row r="174" spans="1:3" x14ac:dyDescent="0.25">
      <c r="A174">
        <v>17.3</v>
      </c>
      <c r="B174">
        <f t="shared" si="4"/>
        <v>6.13388258912711E-8</v>
      </c>
      <c r="C174">
        <f t="shared" si="5"/>
        <v>-9.4732537153581953E-4</v>
      </c>
    </row>
    <row r="175" spans="1:3" x14ac:dyDescent="0.25">
      <c r="A175">
        <v>17.399999999999999</v>
      </c>
      <c r="B175">
        <f t="shared" si="4"/>
        <v>5.5501664844815126E-8</v>
      </c>
      <c r="C175">
        <f t="shared" si="5"/>
        <v>-9.0701346581088436E-4</v>
      </c>
    </row>
    <row r="176" spans="1:3" x14ac:dyDescent="0.25">
      <c r="A176">
        <v>17.5</v>
      </c>
      <c r="B176">
        <f t="shared" si="4"/>
        <v>5.0219983114879638E-8</v>
      </c>
      <c r="C176">
        <f t="shared" si="5"/>
        <v>-8.6838035097494277E-4</v>
      </c>
    </row>
    <row r="177" spans="1:3" x14ac:dyDescent="0.25">
      <c r="A177">
        <v>17.600000000000001</v>
      </c>
      <c r="B177">
        <f t="shared" si="4"/>
        <v>4.5440919855477112E-8</v>
      </c>
      <c r="C177">
        <f t="shared" si="5"/>
        <v>-8.3135816048307792E-4</v>
      </c>
    </row>
    <row r="178" spans="1:3" x14ac:dyDescent="0.25">
      <c r="A178">
        <v>17.7</v>
      </c>
      <c r="B178">
        <f t="shared" si="4"/>
        <v>4.1116644595208969E-8</v>
      </c>
      <c r="C178">
        <f t="shared" si="5"/>
        <v>-7.958816544512546E-4</v>
      </c>
    </row>
    <row r="179" spans="1:3" x14ac:dyDescent="0.25">
      <c r="A179">
        <v>17.8</v>
      </c>
      <c r="B179">
        <f t="shared" si="4"/>
        <v>3.7203878533831021E-8</v>
      </c>
      <c r="C179">
        <f t="shared" si="5"/>
        <v>-7.618881248740517E-4</v>
      </c>
    </row>
    <row r="180" spans="1:3" x14ac:dyDescent="0.25">
      <c r="A180">
        <v>17.899999999999999</v>
      </c>
      <c r="B180">
        <f t="shared" si="4"/>
        <v>3.3663461393475193E-8</v>
      </c>
      <c r="C180">
        <f t="shared" si="5"/>
        <v>-7.2931730383988484E-4</v>
      </c>
    </row>
    <row r="181" spans="1:3" x14ac:dyDescent="0.25">
      <c r="A181">
        <v>18</v>
      </c>
      <c r="B181">
        <f t="shared" si="4"/>
        <v>3.0459959489425258E-8</v>
      </c>
      <c r="C181">
        <f t="shared" si="5"/>
        <v>-6.9811127467675547E-4</v>
      </c>
    </row>
    <row r="182" spans="1:3" x14ac:dyDescent="0.25">
      <c r="A182">
        <v>18.099999999999898</v>
      </c>
      <c r="B182">
        <f t="shared" si="4"/>
        <v>2.7561311097894275E-8</v>
      </c>
      <c r="C182">
        <f t="shared" si="5"/>
        <v>-6.6821438596106105E-4</v>
      </c>
    </row>
    <row r="183" spans="1:3" x14ac:dyDescent="0.25">
      <c r="A183">
        <v>18.1999999999999</v>
      </c>
      <c r="B183">
        <f t="shared" si="4"/>
        <v>2.4938505571504459E-8</v>
      </c>
      <c r="C183">
        <f t="shared" si="5"/>
        <v>-6.3957316832133977E-4</v>
      </c>
    </row>
    <row r="184" spans="1:3" x14ac:dyDescent="0.25">
      <c r="A184">
        <v>18.299999999999901</v>
      </c>
      <c r="B184">
        <f t="shared" si="4"/>
        <v>2.2565292990995455E-8</v>
      </c>
      <c r="C184">
        <f t="shared" si="5"/>
        <v>-6.1213625396932213E-4</v>
      </c>
    </row>
    <row r="185" spans="1:3" x14ac:dyDescent="0.25">
      <c r="A185">
        <v>18.399999999999899</v>
      </c>
      <c r="B185">
        <f t="shared" si="4"/>
        <v>2.0417921447197307E-8</v>
      </c>
      <c r="C185">
        <f t="shared" si="5"/>
        <v>-5.8585429888956394E-4</v>
      </c>
    </row>
    <row r="186" spans="1:3" x14ac:dyDescent="0.25">
      <c r="A186">
        <v>18.499999999999901</v>
      </c>
      <c r="B186">
        <f t="shared" si="4"/>
        <v>1.8474899323943028E-8</v>
      </c>
      <c r="C186">
        <f t="shared" si="5"/>
        <v>-5.6067990762017174E-4</v>
      </c>
    </row>
    <row r="187" spans="1:3" x14ac:dyDescent="0.25">
      <c r="A187">
        <v>18.599999999999898</v>
      </c>
      <c r="B187">
        <f t="shared" si="4"/>
        <v>1.6716780202750941E-8</v>
      </c>
      <c r="C187">
        <f t="shared" si="5"/>
        <v>-5.3656756055679938E-4</v>
      </c>
    </row>
    <row r="188" spans="1:3" x14ac:dyDescent="0.25">
      <c r="A188">
        <v>18.6999999999999</v>
      </c>
      <c r="B188">
        <f t="shared" si="4"/>
        <v>1.5125968236531782E-8</v>
      </c>
      <c r="C188">
        <f t="shared" si="5"/>
        <v>-5.1347354371271523E-4</v>
      </c>
    </row>
    <row r="189" spans="1:3" x14ac:dyDescent="0.25">
      <c r="A189">
        <v>18.799999999999901</v>
      </c>
      <c r="B189">
        <f t="shared" si="4"/>
        <v>1.3686542044437337E-8</v>
      </c>
      <c r="C189">
        <f t="shared" si="5"/>
        <v>-4.9135588086830892E-4</v>
      </c>
    </row>
    <row r="190" spans="1:3" x14ac:dyDescent="0.25">
      <c r="A190">
        <v>18.899999999999899</v>
      </c>
      <c r="B190">
        <f t="shared" si="4"/>
        <v>1.2384095365329309E-8</v>
      </c>
      <c r="C190">
        <f t="shared" si="5"/>
        <v>-4.7017426804401885E-4</v>
      </c>
    </row>
    <row r="191" spans="1:3" x14ac:dyDescent="0.25">
      <c r="A191">
        <v>18.999999999999901</v>
      </c>
      <c r="B191">
        <f t="shared" si="4"/>
        <v>1.1205592875075649E-8</v>
      </c>
      <c r="C191">
        <f t="shared" si="5"/>
        <v>-4.4989001023144708E-4</v>
      </c>
    </row>
    <row r="192" spans="1:3" x14ac:dyDescent="0.25">
      <c r="A192">
        <v>19.099999999999898</v>
      </c>
      <c r="B192">
        <f t="shared" si="4"/>
        <v>1.0139239724645617E-8</v>
      </c>
      <c r="C192">
        <f t="shared" si="5"/>
        <v>-4.3046596031826295E-4</v>
      </c>
    </row>
    <row r="193" spans="1:3" x14ac:dyDescent="0.25">
      <c r="A193">
        <v>19.1999999999999</v>
      </c>
      <c r="B193">
        <f t="shared" si="4"/>
        <v>9.1743634932959609E-9</v>
      </c>
      <c r="C193">
        <f t="shared" si="5"/>
        <v>-4.1186646014338232E-4</v>
      </c>
    </row>
    <row r="194" spans="1:3" x14ac:dyDescent="0.25">
      <c r="A194">
        <v>19.299999999999901</v>
      </c>
      <c r="B194">
        <f t="shared" ref="B194:B257" si="6">S_1(1,A194)</f>
        <v>8.3013073753972727E-9</v>
      </c>
      <c r="C194">
        <f t="shared" ref="C194:C257" si="7">S_2(1,A194)</f>
        <v>-3.9405728361992476E-4</v>
      </c>
    </row>
    <row r="195" spans="1:3" x14ac:dyDescent="0.25">
      <c r="A195">
        <v>19.399999999999899</v>
      </c>
      <c r="B195">
        <f t="shared" si="6"/>
        <v>7.5113335318773527E-9</v>
      </c>
      <c r="C195">
        <f t="shared" si="7"/>
        <v>-3.7700558186444343E-4</v>
      </c>
    </row>
    <row r="196" spans="1:3" x14ac:dyDescent="0.25">
      <c r="A196">
        <v>19.499999999999901</v>
      </c>
      <c r="B196">
        <f t="shared" si="6"/>
        <v>6.7965356389908188E-9</v>
      </c>
      <c r="C196">
        <f t="shared" si="7"/>
        <v>-3.6067983027202559E-4</v>
      </c>
    </row>
    <row r="197" spans="1:3" x14ac:dyDescent="0.25">
      <c r="A197">
        <v>19.599999999999898</v>
      </c>
      <c r="B197">
        <f t="shared" si="6"/>
        <v>6.1497597591738457E-9</v>
      </c>
      <c r="C197">
        <f t="shared" si="7"/>
        <v>-3.4504977747798113E-4</v>
      </c>
    </row>
    <row r="198" spans="1:3" x14ac:dyDescent="0.25">
      <c r="A198">
        <v>19.6999999999999</v>
      </c>
      <c r="B198">
        <f t="shared" si="6"/>
        <v>5.5645327420322999E-9</v>
      </c>
      <c r="C198">
        <f t="shared" si="7"/>
        <v>-3.3008639614797065E-4</v>
      </c>
    </row>
    <row r="199" spans="1:3" x14ac:dyDescent="0.25">
      <c r="A199">
        <v>19.799999999999901</v>
      </c>
      <c r="B199">
        <f t="shared" si="6"/>
        <v>5.0349974388770571E-9</v>
      </c>
      <c r="C199">
        <f t="shared" si="7"/>
        <v>-3.1576183553963869E-4</v>
      </c>
    </row>
    <row r="200" spans="1:3" x14ac:dyDescent="0.25">
      <c r="A200">
        <v>19.899999999999899</v>
      </c>
      <c r="B200">
        <f t="shared" si="6"/>
        <v>4.5558540824111948E-9</v>
      </c>
      <c r="C200">
        <f t="shared" si="7"/>
        <v>-3.0204937577999505E-4</v>
      </c>
    </row>
    <row r="201" spans="1:3" x14ac:dyDescent="0.25">
      <c r="A201">
        <v>19.999999999999901</v>
      </c>
      <c r="B201">
        <f t="shared" si="6"/>
        <v>4.122307244877526E-9</v>
      </c>
      <c r="C201">
        <f t="shared" si="7"/>
        <v>-2.8892338380402682E-4</v>
      </c>
    </row>
    <row r="202" spans="1:3" x14ac:dyDescent="0.25">
      <c r="A202">
        <v>20.099999999999898</v>
      </c>
      <c r="B202">
        <f t="shared" si="6"/>
        <v>3.7300178438059186E-9</v>
      </c>
      <c r="C202">
        <f t="shared" si="7"/>
        <v>-2.7635927090126307E-4</v>
      </c>
    </row>
    <row r="203" spans="1:3" x14ac:dyDescent="0.25">
      <c r="A203">
        <v>20.1999999999999</v>
      </c>
      <c r="B203">
        <f t="shared" si="6"/>
        <v>3.3750597150173995E-9</v>
      </c>
      <c r="C203">
        <f t="shared" si="7"/>
        <v>-2.6433345181824217E-4</v>
      </c>
    </row>
    <row r="204" spans="1:3" x14ac:dyDescent="0.25">
      <c r="A204">
        <v>20.299999999999901</v>
      </c>
      <c r="B204">
        <f t="shared" si="6"/>
        <v>3.053880318253521E-9</v>
      </c>
      <c r="C204">
        <f t="shared" si="7"/>
        <v>-2.5282330536610827E-4</v>
      </c>
    </row>
    <row r="205" spans="1:3" x14ac:dyDescent="0.25">
      <c r="A205">
        <v>20.399999999999899</v>
      </c>
      <c r="B205">
        <f t="shared" si="6"/>
        <v>2.7632651821593564E-9</v>
      </c>
      <c r="C205">
        <f t="shared" si="7"/>
        <v>-2.4180713648379228E-4</v>
      </c>
    </row>
    <row r="206" spans="1:3" x14ac:dyDescent="0.25">
      <c r="A206">
        <v>20.499999999999901</v>
      </c>
      <c r="B206">
        <f t="shared" si="6"/>
        <v>2.5003057327737341E-9</v>
      </c>
      <c r="C206">
        <f t="shared" si="7"/>
        <v>-2.3126413970849996E-4</v>
      </c>
    </row>
    <row r="207" spans="1:3" x14ac:dyDescent="0.25">
      <c r="A207">
        <v>20.599999999999898</v>
      </c>
      <c r="B207">
        <f t="shared" si="6"/>
        <v>2.2623701835434981E-9</v>
      </c>
      <c r="C207">
        <f t="shared" si="7"/>
        <v>-2.2117436400647514E-4</v>
      </c>
    </row>
    <row r="208" spans="1:3" x14ac:dyDescent="0.25">
      <c r="A208">
        <v>20.6999999999999</v>
      </c>
      <c r="B208">
        <f t="shared" si="6"/>
        <v>2.0470771955190359E-9</v>
      </c>
      <c r="C208">
        <f t="shared" si="7"/>
        <v>-2.1151867891823468E-4</v>
      </c>
    </row>
    <row r="209" spans="1:3" x14ac:dyDescent="0.25">
      <c r="A209">
        <v>20.799999999999901</v>
      </c>
      <c r="B209">
        <f t="shared" si="6"/>
        <v>1.8522720441137351E-9</v>
      </c>
      <c r="C209">
        <f t="shared" si="7"/>
        <v>-2.0227874197372293E-4</v>
      </c>
    </row>
    <row r="210" spans="1:3" x14ac:dyDescent="0.25">
      <c r="A210">
        <v>20.899999999999899</v>
      </c>
      <c r="B210">
        <f t="shared" si="6"/>
        <v>1.6760050538960647E-9</v>
      </c>
      <c r="C210">
        <f t="shared" si="7"/>
        <v>-1.9343696733403347E-4</v>
      </c>
    </row>
    <row r="211" spans="1:3" x14ac:dyDescent="0.25">
      <c r="A211">
        <v>20.999999999999901</v>
      </c>
      <c r="B211">
        <f t="shared" si="6"/>
        <v>1.5165120855825323E-9</v>
      </c>
      <c r="C211">
        <f t="shared" si="7"/>
        <v>-1.849764956175663E-4</v>
      </c>
    </row>
    <row r="212" spans="1:3" x14ac:dyDescent="0.25">
      <c r="A212">
        <v>21.099999999999898</v>
      </c>
      <c r="B212">
        <f t="shared" si="6"/>
        <v>1.3721968799388296E-9</v>
      </c>
      <c r="C212">
        <f t="shared" si="7"/>
        <v>-1.7688116486968007E-4</v>
      </c>
    </row>
    <row r="213" spans="1:3" x14ac:dyDescent="0.25">
      <c r="A213">
        <v>21.1999999999999</v>
      </c>
      <c r="B213">
        <f t="shared" si="6"/>
        <v>1.2416150818808483E-9</v>
      </c>
      <c r="C213">
        <f t="shared" si="7"/>
        <v>-1.6913548263606444E-4</v>
      </c>
    </row>
    <row r="214" spans="1:3" x14ac:dyDescent="0.25">
      <c r="A214">
        <v>21.299999999999901</v>
      </c>
      <c r="B214">
        <f t="shared" si="6"/>
        <v>1.1234597848835718E-9</v>
      </c>
      <c r="C214">
        <f t="shared" si="7"/>
        <v>-1.6172459910123395E-4</v>
      </c>
    </row>
    <row r="215" spans="1:3" x14ac:dyDescent="0.25">
      <c r="A215">
        <v>21.399999999999899</v>
      </c>
      <c r="B215">
        <f t="shared" si="6"/>
        <v>1.0165484510212877E-9</v>
      </c>
      <c r="C215">
        <f t="shared" si="7"/>
        <v>-1.5463428125466876E-4</v>
      </c>
    </row>
    <row r="216" spans="1:3" x14ac:dyDescent="0.25">
      <c r="A216">
        <v>21.499999999999901</v>
      </c>
      <c r="B216">
        <f t="shared" si="6"/>
        <v>9.1981107573055484E-10</v>
      </c>
      <c r="C216">
        <f t="shared" si="7"/>
        <v>-1.4785088804825878E-4</v>
      </c>
    </row>
    <row r="217" spans="1:3" x14ac:dyDescent="0.25">
      <c r="A217">
        <v>21.599999999999898</v>
      </c>
      <c r="B217">
        <f t="shared" si="6"/>
        <v>8.3227947884491548E-10</v>
      </c>
      <c r="C217">
        <f t="shared" si="7"/>
        <v>-1.4136134650980872E-4</v>
      </c>
    </row>
    <row r="218" spans="1:3" x14ac:dyDescent="0.25">
      <c r="A218">
        <v>21.6999999999999</v>
      </c>
      <c r="B218">
        <f t="shared" si="6"/>
        <v>7.5307761472234636E-10</v>
      </c>
      <c r="C218">
        <f t="shared" si="7"/>
        <v>-1.3515312877843239E-4</v>
      </c>
    </row>
    <row r="219" spans="1:3" x14ac:dyDescent="0.25">
      <c r="A219">
        <v>21.799999999999901</v>
      </c>
      <c r="B219">
        <f t="shared" si="6"/>
        <v>6.8141280448604602E-10</v>
      </c>
      <c r="C219">
        <f t="shared" si="7"/>
        <v>-1.2921423002873629E-4</v>
      </c>
    </row>
    <row r="220" spans="1:3" x14ac:dyDescent="0.25">
      <c r="A220">
        <v>21.899999999999899</v>
      </c>
      <c r="B220">
        <f t="shared" si="6"/>
        <v>6.1656780262779729E-10</v>
      </c>
      <c r="C220">
        <f t="shared" si="7"/>
        <v>-1.235331472517173E-4</v>
      </c>
    </row>
    <row r="221" spans="1:3" x14ac:dyDescent="0.25">
      <c r="A221">
        <v>21.999999999999901</v>
      </c>
      <c r="B221">
        <f t="shared" si="6"/>
        <v>5.5789361857384045E-10</v>
      </c>
      <c r="C221">
        <f t="shared" si="7"/>
        <v>-1.1809885886131955E-4</v>
      </c>
    </row>
    <row r="222" spans="1:3" x14ac:dyDescent="0.25">
      <c r="A222">
        <v>22.099999999999898</v>
      </c>
      <c r="B222">
        <f t="shared" si="6"/>
        <v>5.0480302136909338E-10</v>
      </c>
      <c r="C222">
        <f t="shared" si="7"/>
        <v>-1.1290080509658838E-4</v>
      </c>
    </row>
    <row r="223" spans="1:3" x14ac:dyDescent="0.25">
      <c r="A223">
        <v>22.1999999999999</v>
      </c>
      <c r="B223">
        <f t="shared" si="6"/>
        <v>4.5676466247236107E-10</v>
      </c>
      <c r="C223">
        <f t="shared" si="7"/>
        <v>-1.0792886919032033E-4</v>
      </c>
    </row>
    <row r="224" spans="1:3" x14ac:dyDescent="0.25">
      <c r="A224">
        <v>22.299999999999901</v>
      </c>
      <c r="B224">
        <f t="shared" si="6"/>
        <v>4.1329775784155719E-10</v>
      </c>
      <c r="C224">
        <f t="shared" si="7"/>
        <v>-1.0317335927606435E-4</v>
      </c>
    </row>
    <row r="225" spans="1:3" x14ac:dyDescent="0.25">
      <c r="A225">
        <v>22.399999999999899</v>
      </c>
      <c r="B225">
        <f t="shared" si="6"/>
        <v>3.7396727608540666E-10</v>
      </c>
      <c r="C225">
        <f t="shared" si="7"/>
        <v>-9.8624991006242084E-5</v>
      </c>
    </row>
    <row r="226" spans="1:3" x14ac:dyDescent="0.25">
      <c r="A226">
        <v>22.499999999999901</v>
      </c>
      <c r="B226">
        <f t="shared" si="6"/>
        <v>3.3837958452305974E-10</v>
      </c>
      <c r="C226">
        <f t="shared" si="7"/>
        <v>-9.4274870855060874E-5</v>
      </c>
    </row>
    <row r="227" spans="1:3" x14ac:dyDescent="0.25">
      <c r="A227">
        <v>22.599999999999898</v>
      </c>
      <c r="B227">
        <f t="shared" si="6"/>
        <v>3.0617850957592678E-10</v>
      </c>
      <c r="C227">
        <f t="shared" si="7"/>
        <v>-9.0114480080769692E-5</v>
      </c>
    </row>
    <row r="228" spans="1:3" x14ac:dyDescent="0.25">
      <c r="A228">
        <v>22.6999999999999</v>
      </c>
      <c r="B228">
        <f t="shared" si="6"/>
        <v>2.7704177206277951E-10</v>
      </c>
      <c r="C228">
        <f t="shared" si="7"/>
        <v>-8.6135659322656273E-5</v>
      </c>
    </row>
    <row r="229" spans="1:3" x14ac:dyDescent="0.25">
      <c r="A229">
        <v>22.799999999999901</v>
      </c>
      <c r="B229">
        <f t="shared" si="6"/>
        <v>2.5067776172139192E-10</v>
      </c>
      <c r="C229">
        <f t="shared" si="7"/>
        <v>-8.233059380902324E-5</v>
      </c>
    </row>
    <row r="230" spans="1:3" x14ac:dyDescent="0.25">
      <c r="A230">
        <v>22.899999999999899</v>
      </c>
      <c r="B230">
        <f t="shared" si="6"/>
        <v>2.2682261867501823E-10</v>
      </c>
      <c r="C230">
        <f t="shared" si="7"/>
        <v>-7.8691799153181207E-5</v>
      </c>
    </row>
    <row r="231" spans="1:3" x14ac:dyDescent="0.25">
      <c r="A231">
        <v>22.999999999999901</v>
      </c>
      <c r="B231">
        <f t="shared" si="6"/>
        <v>2.0523759263405822E-10</v>
      </c>
      <c r="C231">
        <f t="shared" si="7"/>
        <v>-7.5212107715288618E-5</v>
      </c>
    </row>
    <row r="232" spans="1:3" x14ac:dyDescent="0.25">
      <c r="A232">
        <v>23.099999999999898</v>
      </c>
      <c r="B232">
        <f t="shared" si="6"/>
        <v>1.8570665340291771E-10</v>
      </c>
      <c r="C232">
        <f t="shared" si="7"/>
        <v>-7.1884655508630725E-5</v>
      </c>
    </row>
    <row r="233" spans="1:3" x14ac:dyDescent="0.25">
      <c r="A233">
        <v>23.1999999999999</v>
      </c>
      <c r="B233">
        <f t="shared" si="6"/>
        <v>1.6803432877719466E-10</v>
      </c>
      <c r="C233">
        <f t="shared" si="7"/>
        <v>-6.8702869629669417E-5</v>
      </c>
    </row>
    <row r="234" spans="1:3" x14ac:dyDescent="0.25">
      <c r="A234">
        <v>23.299999999999901</v>
      </c>
      <c r="B234">
        <f t="shared" si="6"/>
        <v>1.5204374819216214E-10</v>
      </c>
      <c r="C234">
        <f t="shared" si="7"/>
        <v>-6.5660456191922242E-5</v>
      </c>
    </row>
    <row r="235" spans="1:3" x14ac:dyDescent="0.25">
      <c r="A235">
        <v>23.399999999999899</v>
      </c>
      <c r="B235">
        <f t="shared" si="6"/>
        <v>1.3757487254270588E-10</v>
      </c>
      <c r="C235">
        <f t="shared" si="7"/>
        <v>-6.275138874442193E-5</v>
      </c>
    </row>
    <row r="236" spans="1:3" x14ac:dyDescent="0.25">
      <c r="A236">
        <v>23.499999999999901</v>
      </c>
      <c r="B236">
        <f t="shared" si="6"/>
        <v>1.2448289245816806E-10</v>
      </c>
      <c r="C236">
        <f t="shared" si="7"/>
        <v>-5.9969897156191861E-5</v>
      </c>
    </row>
    <row r="237" spans="1:3" x14ac:dyDescent="0.25">
      <c r="A237">
        <v>23.599999999999898</v>
      </c>
      <c r="B237">
        <f t="shared" si="6"/>
        <v>1.1263677900149704E-10</v>
      </c>
      <c r="C237">
        <f t="shared" si="7"/>
        <v>-5.7310456948829353E-5</v>
      </c>
    </row>
    <row r="238" spans="1:3" x14ac:dyDescent="0.25">
      <c r="A238">
        <v>23.6999999999999</v>
      </c>
      <c r="B238">
        <f t="shared" si="6"/>
        <v>1.0191797228760143E-10</v>
      </c>
      <c r="C238">
        <f t="shared" si="7"/>
        <v>-5.476777905992503E-5</v>
      </c>
    </row>
    <row r="239" spans="1:3" x14ac:dyDescent="0.25">
      <c r="A239">
        <v>23.799999999999901</v>
      </c>
      <c r="B239">
        <f t="shared" si="6"/>
        <v>9.2219194896173621E-11</v>
      </c>
      <c r="C239">
        <f t="shared" si="7"/>
        <v>-5.2336800020669701E-5</v>
      </c>
    </row>
    <row r="240" spans="1:3" x14ac:dyDescent="0.25">
      <c r="A240">
        <v>23.899999999999899</v>
      </c>
      <c r="B240">
        <f t="shared" si="6"/>
        <v>8.3443378203208857E-11</v>
      </c>
      <c r="C240">
        <f t="shared" si="7"/>
        <v>-5.0012672531594835E-5</v>
      </c>
    </row>
    <row r="241" spans="1:3" x14ac:dyDescent="0.25">
      <c r="A241">
        <v>23.999999999999901</v>
      </c>
      <c r="B241">
        <f t="shared" si="6"/>
        <v>7.5502690885589464E-11</v>
      </c>
      <c r="C241">
        <f t="shared" si="7"/>
        <v>-4.7790756420976021E-5</v>
      </c>
    </row>
    <row r="242" spans="1:3" x14ac:dyDescent="0.25">
      <c r="A242">
        <v>24.099999999999898</v>
      </c>
      <c r="B242">
        <f t="shared" si="6"/>
        <v>6.8317659875684095E-11</v>
      </c>
      <c r="C242">
        <f t="shared" si="7"/>
        <v>-4.5666609970991502E-5</v>
      </c>
    </row>
    <row r="243" spans="1:3" x14ac:dyDescent="0.25">
      <c r="A243">
        <v>24.1999999999999</v>
      </c>
      <c r="B243">
        <f t="shared" si="6"/>
        <v>6.1816374968172786E-11</v>
      </c>
      <c r="C243">
        <f t="shared" si="7"/>
        <v>-4.3635981597268161E-5</v>
      </c>
    </row>
    <row r="244" spans="1:3" x14ac:dyDescent="0.25">
      <c r="A244">
        <v>24.299999999999901</v>
      </c>
      <c r="B244">
        <f t="shared" si="6"/>
        <v>5.5933769118544106E-11</v>
      </c>
      <c r="C244">
        <f t="shared" si="7"/>
        <v>-4.1694801867979119E-5</v>
      </c>
    </row>
    <row r="245" spans="1:3" x14ac:dyDescent="0.25">
      <c r="A245">
        <v>24.399999999999899</v>
      </c>
      <c r="B245">
        <f t="shared" si="6"/>
        <v>5.0610967230243044E-11</v>
      </c>
      <c r="C245">
        <f t="shared" si="7"/>
        <v>-3.9839175849161434E-5</v>
      </c>
    </row>
    <row r="246" spans="1:3" x14ac:dyDescent="0.25">
      <c r="A246">
        <v>24.499999999999901</v>
      </c>
      <c r="B246">
        <f t="shared" si="6"/>
        <v>4.5794696912915616E-11</v>
      </c>
      <c r="C246">
        <f t="shared" si="7"/>
        <v>-3.8065375763417963E-5</v>
      </c>
    </row>
    <row r="247" spans="1:3" x14ac:dyDescent="0.25">
      <c r="A247">
        <v>24.599999999999898</v>
      </c>
      <c r="B247">
        <f t="shared" si="6"/>
        <v>4.1436755314421983E-11</v>
      </c>
      <c r="C247">
        <f t="shared" si="7"/>
        <v>-3.6369833949643266E-5</v>
      </c>
    </row>
    <row r="248" spans="1:3" x14ac:dyDescent="0.25">
      <c r="A248">
        <v>24.6999999999999</v>
      </c>
      <c r="B248">
        <f t="shared" si="6"/>
        <v>3.7493526690489357E-11</v>
      </c>
      <c r="C248">
        <f t="shared" si="7"/>
        <v>-3.4749136111871627E-5</v>
      </c>
    </row>
    <row r="249" spans="1:3" x14ac:dyDescent="0.25">
      <c r="A249">
        <v>24.799999999999901</v>
      </c>
      <c r="B249">
        <f t="shared" si="6"/>
        <v>3.392554588368468E-11</v>
      </c>
      <c r="C249">
        <f t="shared" si="7"/>
        <v>-3.3200014845793452E-5</v>
      </c>
    </row>
    <row r="250" spans="1:3" x14ac:dyDescent="0.25">
      <c r="A250">
        <v>24.899999999999899</v>
      </c>
      <c r="B250">
        <f t="shared" si="6"/>
        <v>3.0697103342853784E-11</v>
      </c>
      <c r="C250">
        <f t="shared" si="7"/>
        <v>-3.1719343431912539E-5</v>
      </c>
    </row>
    <row r="251" spans="1:3" x14ac:dyDescent="0.25">
      <c r="A251">
        <v>24.999999999999901</v>
      </c>
      <c r="B251">
        <f t="shared" si="6"/>
        <v>2.7775887729930804E-11</v>
      </c>
      <c r="C251">
        <f t="shared" si="7"/>
        <v>-3.0304129884734021E-5</v>
      </c>
    </row>
    <row r="252" spans="1:3" x14ac:dyDescent="0.25">
      <c r="A252">
        <v>25.099999999999898</v>
      </c>
      <c r="B252">
        <f t="shared" si="6"/>
        <v>2.5132662537207334E-11</v>
      </c>
      <c r="C252">
        <f t="shared" si="7"/>
        <v>-2.8951511247773284E-5</v>
      </c>
    </row>
    <row r="253" spans="1:3" x14ac:dyDescent="0.25">
      <c r="A253">
        <v>25.1999999999999</v>
      </c>
      <c r="B253">
        <f t="shared" si="6"/>
        <v>2.2740973478535739E-11</v>
      </c>
      <c r="C253">
        <f t="shared" si="7"/>
        <v>-2.7658748124561526E-5</v>
      </c>
    </row>
    <row r="254" spans="1:3" x14ac:dyDescent="0.25">
      <c r="A254">
        <v>25.299999999999901</v>
      </c>
      <c r="B254">
        <f t="shared" si="6"/>
        <v>2.0576883725942483E-11</v>
      </c>
      <c r="C254">
        <f t="shared" si="7"/>
        <v>-2.6423219436199508E-5</v>
      </c>
    </row>
    <row r="255" spans="1:3" x14ac:dyDescent="0.25">
      <c r="A255">
        <v>25.399999999999899</v>
      </c>
      <c r="B255">
        <f t="shared" si="6"/>
        <v>1.8618734341807992E-11</v>
      </c>
      <c r="C255">
        <f t="shared" si="7"/>
        <v>-2.5242417396369122E-5</v>
      </c>
    </row>
    <row r="256" spans="1:3" x14ac:dyDescent="0.25">
      <c r="A256">
        <v>25.499999999999901</v>
      </c>
      <c r="B256">
        <f t="shared" si="6"/>
        <v>1.6846927508938971E-11</v>
      </c>
      <c r="C256">
        <f t="shared" si="7"/>
        <v>-2.4113942695061645E-5</v>
      </c>
    </row>
    <row r="257" spans="1:3" x14ac:dyDescent="0.25">
      <c r="A257">
        <v>25.599999999999898</v>
      </c>
      <c r="B257">
        <f t="shared" si="6"/>
        <v>1.5243730389027351E-11</v>
      </c>
      <c r="C257">
        <f t="shared" si="7"/>
        <v>-2.3035499882616775E-5</v>
      </c>
    </row>
    <row r="258" spans="1:3" x14ac:dyDescent="0.25">
      <c r="A258">
        <v>25.6999999999999</v>
      </c>
      <c r="B258">
        <f t="shared" ref="B258:B284" si="8">S_1(1,A258)</f>
        <v>1.3793097646443782E-11</v>
      </c>
      <c r="C258">
        <f t="shared" ref="C258:C284" si="9">S_2(1,A258)</f>
        <v>-2.2004892945988945E-5</v>
      </c>
    </row>
    <row r="259" spans="1:3" x14ac:dyDescent="0.25">
      <c r="A259">
        <v>25.799999999999901</v>
      </c>
      <c r="B259">
        <f t="shared" si="8"/>
        <v>1.2480510861126046E-11</v>
      </c>
      <c r="C259">
        <f t="shared" si="9"/>
        <v>-2.1020021069471155E-5</v>
      </c>
    </row>
    <row r="260" spans="1:3" x14ac:dyDescent="0.25">
      <c r="A260">
        <v>25.899999999999899</v>
      </c>
      <c r="B260">
        <f t="shared" si="8"/>
        <v>1.1292833223351064E-11</v>
      </c>
      <c r="C260">
        <f t="shared" si="9"/>
        <v>-2.0078874572405554E-5</v>
      </c>
    </row>
    <row r="261" spans="1:3" x14ac:dyDescent="0.25">
      <c r="A261">
        <v>25.999999999999901</v>
      </c>
      <c r="B261">
        <f t="shared" si="8"/>
        <v>1.0218178056127666E-11</v>
      </c>
      <c r="C261">
        <f t="shared" si="9"/>
        <v>-1.9179531016700931E-5</v>
      </c>
    </row>
    <row r="262" spans="1:3" x14ac:dyDescent="0.25">
      <c r="A262">
        <v>26.099999999999898</v>
      </c>
      <c r="B262">
        <f t="shared" si="8"/>
        <v>9.245789849338278E-12</v>
      </c>
      <c r="C262">
        <f t="shared" si="9"/>
        <v>-1.8320151477256747E-5</v>
      </c>
    </row>
    <row r="263" spans="1:3" x14ac:dyDescent="0.25">
      <c r="A263">
        <v>26.1999999999999</v>
      </c>
      <c r="B263">
        <f t="shared" si="8"/>
        <v>8.3659366149783194E-12</v>
      </c>
      <c r="C263">
        <f t="shared" si="9"/>
        <v>-1.749897696866138E-5</v>
      </c>
    </row>
    <row r="264" spans="1:3" x14ac:dyDescent="0.25">
      <c r="A264">
        <v>26.299999999999901</v>
      </c>
      <c r="B264">
        <f t="shared" si="8"/>
        <v>7.5698124861494659E-12</v>
      </c>
      <c r="C264">
        <f t="shared" si="9"/>
        <v>-1.671432502179336E-5</v>
      </c>
    </row>
    <row r="265" spans="1:3" x14ac:dyDescent="0.25">
      <c r="A265">
        <v>26.399999999999899</v>
      </c>
      <c r="B265">
        <f t="shared" si="8"/>
        <v>6.8494495849838662E-12</v>
      </c>
      <c r="C265">
        <f t="shared" si="9"/>
        <v>-1.5964586404202508E-5</v>
      </c>
    </row>
    <row r="266" spans="1:3" x14ac:dyDescent="0.25">
      <c r="A266">
        <v>26.499999999999901</v>
      </c>
      <c r="B266">
        <f t="shared" si="8"/>
        <v>6.1976382774442675E-12</v>
      </c>
      <c r="C266">
        <f t="shared" si="9"/>
        <v>-1.5248221978389585E-5</v>
      </c>
    </row>
    <row r="267" spans="1:3" x14ac:dyDescent="0.25">
      <c r="A267">
        <v>26.599999999999898</v>
      </c>
      <c r="B267">
        <f t="shared" si="8"/>
        <v>5.6078550168835147E-12</v>
      </c>
      <c r="C267">
        <f t="shared" si="9"/>
        <v>-1.4563759692334772E-5</v>
      </c>
    </row>
    <row r="268" spans="1:3" x14ac:dyDescent="0.25">
      <c r="A268">
        <v>26.6999999999999</v>
      </c>
      <c r="B268">
        <f t="shared" si="8"/>
        <v>5.0741970541968748E-12</v>
      </c>
      <c r="C268">
        <f t="shared" si="9"/>
        <v>-1.3909791696847374E-5</v>
      </c>
    </row>
    <row r="269" spans="1:3" x14ac:dyDescent="0.25">
      <c r="A269">
        <v>26.799999999999901</v>
      </c>
      <c r="B269">
        <f t="shared" si="8"/>
        <v>4.5913233611251658E-12</v>
      </c>
      <c r="C269">
        <f t="shared" si="9"/>
        <v>-1.3284971584525499E-5</v>
      </c>
    </row>
    <row r="270" spans="1:3" x14ac:dyDescent="0.25">
      <c r="A270">
        <v>26.899999999999899</v>
      </c>
      <c r="B270">
        <f t="shared" si="8"/>
        <v>4.1544011754486873E-12</v>
      </c>
      <c r="C270">
        <f t="shared" si="9"/>
        <v>-1.2688011745319674E-5</v>
      </c>
    </row>
    <row r="271" spans="1:3" x14ac:dyDescent="0.25">
      <c r="A271">
        <v>26.999999999999901</v>
      </c>
      <c r="B271">
        <f t="shared" si="8"/>
        <v>3.7590576330785405E-12</v>
      </c>
      <c r="C271">
        <f t="shared" si="9"/>
        <v>-1.2117680833894304E-5</v>
      </c>
    </row>
    <row r="272" spans="1:3" x14ac:dyDescent="0.25">
      <c r="A272">
        <v>27.099999999999898</v>
      </c>
      <c r="B272">
        <f t="shared" si="8"/>
        <v>3.4013360029631595E-12</v>
      </c>
      <c r="C272">
        <f t="shared" si="9"/>
        <v>-1.1572801344172256E-5</v>
      </c>
    </row>
    <row r="273" spans="1:3" x14ac:dyDescent="0.25">
      <c r="A273">
        <v>27.1999999999999</v>
      </c>
      <c r="B273">
        <f t="shared" si="8"/>
        <v>3.0776560867939317E-12</v>
      </c>
      <c r="C273">
        <f t="shared" si="9"/>
        <v>-1.1052247286631356E-5</v>
      </c>
    </row>
    <row r="274" spans="1:3" x14ac:dyDescent="0.25">
      <c r="A274">
        <v>27.299999999999901</v>
      </c>
      <c r="B274">
        <f t="shared" si="8"/>
        <v>2.7847783871772724E-12</v>
      </c>
      <c r="C274">
        <f t="shared" si="9"/>
        <v>-1.0554941964099941E-5</v>
      </c>
    </row>
    <row r="275" spans="1:3" x14ac:dyDescent="0.25">
      <c r="A275">
        <v>27.399999999999899</v>
      </c>
      <c r="B275">
        <f t="shared" si="8"/>
        <v>2.5197716856558324E-12</v>
      </c>
      <c r="C275">
        <f t="shared" si="9"/>
        <v>-1.0079855841968004E-5</v>
      </c>
    </row>
    <row r="276" spans="1:3" x14ac:dyDescent="0.25">
      <c r="A276">
        <v>27.499999999999901</v>
      </c>
      <c r="B276">
        <f t="shared" si="8"/>
        <v>2.2799837060889373E-12</v>
      </c>
      <c r="C276">
        <f t="shared" si="9"/>
        <v>-9.6260045088951636E-6</v>
      </c>
    </row>
    <row r="277" spans="1:3" x14ac:dyDescent="0.25">
      <c r="A277">
        <v>27.599999999999898</v>
      </c>
      <c r="B277">
        <f t="shared" si="8"/>
        <v>2.0630145697815767E-12</v>
      </c>
      <c r="C277">
        <f t="shared" si="9"/>
        <v>-9.1924467242542521E-6</v>
      </c>
    </row>
    <row r="278" spans="1:3" x14ac:dyDescent="0.25">
      <c r="A278">
        <v>27.6999999999999</v>
      </c>
      <c r="B278">
        <f t="shared" si="8"/>
        <v>1.8666927766917253E-12</v>
      </c>
      <c r="C278">
        <f t="shared" si="9"/>
        <v>-8.7782825487004735E-6</v>
      </c>
    </row>
    <row r="279" spans="1:3" x14ac:dyDescent="0.25">
      <c r="A279">
        <v>27.799999999999901</v>
      </c>
      <c r="B279">
        <f t="shared" si="8"/>
        <v>1.6890534723281143E-12</v>
      </c>
      <c r="C279">
        <f t="shared" si="9"/>
        <v>-8.3826515544026909E-6</v>
      </c>
    </row>
    <row r="280" spans="1:3" x14ac:dyDescent="0.25">
      <c r="A280">
        <v>27.899999999999899</v>
      </c>
      <c r="B280">
        <f t="shared" si="8"/>
        <v>1.5283187828260462E-12</v>
      </c>
      <c r="C280">
        <f t="shared" si="9"/>
        <v>-8.004731111612728E-6</v>
      </c>
    </row>
    <row r="281" spans="1:3" x14ac:dyDescent="0.25">
      <c r="A281">
        <v>27.999999999999901</v>
      </c>
      <c r="B281">
        <f t="shared" si="8"/>
        <v>1.3828800213881781E-12</v>
      </c>
      <c r="C281">
        <f t="shared" si="9"/>
        <v>-7.6437347483838097E-6</v>
      </c>
    </row>
    <row r="282" spans="1:3" x14ac:dyDescent="0.25">
      <c r="A282">
        <v>28.099999999999898</v>
      </c>
      <c r="B282">
        <f t="shared" si="8"/>
        <v>1.2512815880063943E-12</v>
      </c>
      <c r="C282">
        <f t="shared" si="9"/>
        <v>-7.2989105803787139E-6</v>
      </c>
    </row>
    <row r="283" spans="1:3" x14ac:dyDescent="0.25">
      <c r="A283">
        <v>28.1999999999999</v>
      </c>
      <c r="B283">
        <f t="shared" si="8"/>
        <v>1.1322064013276396E-12</v>
      </c>
      <c r="C283">
        <f t="shared" si="9"/>
        <v>-6.9695398078322709E-6</v>
      </c>
    </row>
    <row r="284" spans="1:3" x14ac:dyDescent="0.25">
      <c r="A284">
        <v>28.299999999999901</v>
      </c>
      <c r="B284">
        <f t="shared" si="8"/>
        <v>1.0244627168610854E-12</v>
      </c>
      <c r="C284">
        <f t="shared" si="9"/>
        <v>-6.6549352768529936E-6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</dc:creator>
  <cp:lastModifiedBy>ahmad</cp:lastModifiedBy>
  <dcterms:created xsi:type="dcterms:W3CDTF">2016-11-18T01:39:50Z</dcterms:created>
  <dcterms:modified xsi:type="dcterms:W3CDTF">2016-11-24T02:35:34Z</dcterms:modified>
</cp:coreProperties>
</file>